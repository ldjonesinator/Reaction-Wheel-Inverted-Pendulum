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jme214_uclive_ac_nz/Documents/"/>
    </mc:Choice>
  </mc:AlternateContent>
  <xr:revisionPtr revIDLastSave="156" documentId="8_{957BC514-79F9-4A73-970D-700947C85A2F}" xr6:coauthVersionLast="47" xr6:coauthVersionMax="47" xr10:uidLastSave="{C84F52A0-775C-44C3-967F-A8CD5C0319FA}"/>
  <bookViews>
    <workbookView xWindow="-110" yWindow="-110" windowWidth="19420" windowHeight="11500" xr2:uid="{F579CCBA-5364-412C-8E5B-16ED481FA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I22" i="1"/>
  <c r="I23" i="1"/>
  <c r="I24" i="1"/>
  <c r="I25" i="1"/>
  <c r="I26" i="1"/>
  <c r="I27" i="1"/>
  <c r="I28" i="1"/>
  <c r="I29" i="1"/>
  <c r="I30" i="1"/>
  <c r="I31" i="1"/>
  <c r="E31" i="1" s="1"/>
  <c r="H31" i="1" s="1"/>
  <c r="I32" i="1"/>
  <c r="E32" i="1" s="1"/>
  <c r="H32" i="1" s="1"/>
  <c r="I33" i="1"/>
  <c r="E33" i="1" s="1"/>
  <c r="H33" i="1" s="1"/>
  <c r="I34" i="1"/>
  <c r="E34" i="1" s="1"/>
  <c r="H34" i="1" s="1"/>
  <c r="I35" i="1"/>
  <c r="E35" i="1" s="1"/>
  <c r="H35" i="1" s="1"/>
  <c r="I36" i="1"/>
  <c r="E36" i="1" s="1"/>
  <c r="H36" i="1" s="1"/>
  <c r="I37" i="1"/>
  <c r="E37" i="1" s="1"/>
  <c r="H37" i="1" s="1"/>
  <c r="I38" i="1"/>
  <c r="I39" i="1"/>
  <c r="I40" i="1"/>
  <c r="I41" i="1"/>
  <c r="I42" i="1"/>
  <c r="I43" i="1"/>
  <c r="I44" i="1"/>
  <c r="I45" i="1"/>
  <c r="I46" i="1"/>
  <c r="I47" i="1"/>
  <c r="I48" i="1"/>
  <c r="E48" i="1" s="1"/>
  <c r="H48" i="1" s="1"/>
  <c r="I49" i="1"/>
  <c r="E49" i="1" s="1"/>
  <c r="I50" i="1"/>
  <c r="E50" i="1" s="1"/>
  <c r="I51" i="1"/>
  <c r="E51" i="1" s="1"/>
  <c r="I52" i="1"/>
  <c r="E52" i="1" s="1"/>
  <c r="I53" i="1"/>
  <c r="E53" i="1" s="1"/>
  <c r="I54" i="1"/>
  <c r="I55" i="1"/>
  <c r="I56" i="1"/>
  <c r="I57" i="1"/>
  <c r="I58" i="1"/>
  <c r="I59" i="1"/>
  <c r="I60" i="1"/>
  <c r="I61" i="1"/>
  <c r="I62" i="1"/>
  <c r="I63" i="1"/>
  <c r="I64" i="1"/>
  <c r="E64" i="1" s="1"/>
  <c r="H64" i="1" s="1"/>
  <c r="I65" i="1"/>
  <c r="E65" i="1" s="1"/>
  <c r="H65" i="1" s="1"/>
  <c r="I66" i="1"/>
  <c r="E66" i="1" s="1"/>
  <c r="H66" i="1" s="1"/>
  <c r="I67" i="1"/>
  <c r="E67" i="1" s="1"/>
  <c r="H67" i="1" s="1"/>
  <c r="I68" i="1"/>
  <c r="E68" i="1" s="1"/>
  <c r="H68" i="1" s="1"/>
  <c r="I69" i="1"/>
  <c r="E69" i="1" s="1"/>
  <c r="H69" i="1" s="1"/>
  <c r="I11" i="1"/>
  <c r="E11" i="1" s="1"/>
  <c r="H11" i="1" s="1"/>
  <c r="I12" i="1"/>
  <c r="I13" i="1"/>
  <c r="I14" i="1"/>
  <c r="I15" i="1"/>
  <c r="I16" i="1"/>
  <c r="E16" i="1" s="1"/>
  <c r="H16" i="1" s="1"/>
  <c r="I17" i="1"/>
  <c r="E17" i="1" s="1"/>
  <c r="H17" i="1" s="1"/>
  <c r="I18" i="1"/>
  <c r="E18" i="1" s="1"/>
  <c r="H18" i="1" s="1"/>
  <c r="I19" i="1"/>
  <c r="E19" i="1" s="1"/>
  <c r="H19" i="1" s="1"/>
  <c r="I20" i="1"/>
  <c r="E20" i="1" s="1"/>
  <c r="H20" i="1" s="1"/>
  <c r="I21" i="1"/>
  <c r="E21" i="1" s="1"/>
  <c r="H21" i="1" s="1"/>
  <c r="I10" i="1"/>
  <c r="E27" i="1"/>
  <c r="H27" i="1" s="1"/>
  <c r="E28" i="1"/>
  <c r="H28" i="1" s="1"/>
  <c r="E29" i="1"/>
  <c r="H29" i="1" s="1"/>
  <c r="E30" i="1"/>
  <c r="H30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E54" i="1"/>
  <c r="E55" i="1"/>
  <c r="E56" i="1"/>
  <c r="E57" i="1"/>
  <c r="E58" i="1"/>
  <c r="H58" i="1" s="1"/>
  <c r="E59" i="1"/>
  <c r="H59" i="1" s="1"/>
  <c r="E60" i="1"/>
  <c r="H60" i="1" s="1"/>
  <c r="E61" i="1"/>
  <c r="H61" i="1" s="1"/>
  <c r="E62" i="1"/>
  <c r="H62" i="1" s="1"/>
  <c r="E63" i="1"/>
  <c r="E25" i="1"/>
  <c r="H25" i="1" s="1"/>
  <c r="E26" i="1"/>
  <c r="H26" i="1" s="1"/>
  <c r="E23" i="1"/>
  <c r="H23" i="1" s="1"/>
  <c r="E24" i="1"/>
  <c r="H24" i="1" s="1"/>
  <c r="E22" i="1"/>
  <c r="H22" i="1" s="1"/>
  <c r="E12" i="1"/>
  <c r="H12" i="1" s="1"/>
  <c r="E13" i="1"/>
  <c r="H13" i="1" s="1"/>
  <c r="E14" i="1"/>
  <c r="H14" i="1" s="1"/>
  <c r="E15" i="1"/>
  <c r="H15" i="1" s="1"/>
  <c r="H10" i="1"/>
  <c r="F10" i="1"/>
  <c r="G10" i="1"/>
  <c r="D11" i="1"/>
  <c r="D12" i="1"/>
  <c r="D13" i="1"/>
  <c r="D14" i="1"/>
  <c r="D15" i="1"/>
  <c r="D16" i="1"/>
  <c r="D17" i="1"/>
  <c r="D18" i="1"/>
  <c r="D19" i="1"/>
  <c r="D20" i="1"/>
  <c r="D21" i="1"/>
  <c r="D22" i="1"/>
  <c r="F22" i="1" s="1"/>
  <c r="D23" i="1"/>
  <c r="F23" i="1" s="1"/>
  <c r="D24" i="1"/>
  <c r="F24" i="1" s="1"/>
  <c r="D25" i="1"/>
  <c r="F25" i="1" s="1"/>
  <c r="D26" i="1"/>
  <c r="D27" i="1"/>
  <c r="D28" i="1"/>
  <c r="D29" i="1"/>
  <c r="D30" i="1"/>
  <c r="D31" i="1"/>
  <c r="F31" i="1" s="1"/>
  <c r="D32" i="1"/>
  <c r="D33" i="1"/>
  <c r="D34" i="1"/>
  <c r="D35" i="1"/>
  <c r="D36" i="1"/>
  <c r="G36" i="1" s="1"/>
  <c r="D37" i="1"/>
  <c r="F37" i="1" s="1"/>
  <c r="D38" i="1"/>
  <c r="F38" i="1" s="1"/>
  <c r="D39" i="1"/>
  <c r="G39" i="1" s="1"/>
  <c r="D40" i="1"/>
  <c r="D41" i="1"/>
  <c r="F41" i="1" s="1"/>
  <c r="D42" i="1"/>
  <c r="G42" i="1" s="1"/>
  <c r="D43" i="1"/>
  <c r="D44" i="1"/>
  <c r="F44" i="1" s="1"/>
  <c r="D45" i="1"/>
  <c r="D46" i="1"/>
  <c r="D47" i="1"/>
  <c r="D48" i="1"/>
  <c r="F48" i="1" s="1"/>
  <c r="D49" i="1"/>
  <c r="F49" i="1" s="1"/>
  <c r="D50" i="1"/>
  <c r="F50" i="1" s="1"/>
  <c r="D51" i="1"/>
  <c r="F51" i="1" s="1"/>
  <c r="D52" i="1"/>
  <c r="F52" i="1" s="1"/>
  <c r="D53" i="1"/>
  <c r="G53" i="1" s="1"/>
  <c r="D54" i="1"/>
  <c r="F54" i="1" s="1"/>
  <c r="D55" i="1"/>
  <c r="D56" i="1"/>
  <c r="D57" i="1"/>
  <c r="F57" i="1" s="1"/>
  <c r="D58" i="1"/>
  <c r="F58" i="1" s="1"/>
  <c r="D59" i="1"/>
  <c r="D60" i="1"/>
  <c r="D61" i="1"/>
  <c r="D62" i="1"/>
  <c r="D63" i="1"/>
  <c r="F63" i="1" s="1"/>
  <c r="D64" i="1"/>
  <c r="F64" i="1" s="1"/>
  <c r="D65" i="1"/>
  <c r="D66" i="1"/>
  <c r="D67" i="1"/>
  <c r="D68" i="1"/>
  <c r="F68" i="1" s="1"/>
  <c r="D69" i="1"/>
  <c r="F69" i="1" s="1"/>
  <c r="D10" i="1"/>
  <c r="F43" i="1"/>
  <c r="G43" i="1"/>
  <c r="G45" i="1"/>
  <c r="F46" i="1"/>
  <c r="A47" i="1"/>
  <c r="F47" i="1"/>
  <c r="H47" i="1"/>
  <c r="A48" i="1"/>
  <c r="A49" i="1" s="1"/>
  <c r="F53" i="1"/>
  <c r="G54" i="1"/>
  <c r="G55" i="1"/>
  <c r="F56" i="1"/>
  <c r="G56" i="1"/>
  <c r="F59" i="1"/>
  <c r="G59" i="1"/>
  <c r="G60" i="1"/>
  <c r="F61" i="1"/>
  <c r="G61" i="1"/>
  <c r="F62" i="1"/>
  <c r="H63" i="1"/>
  <c r="F65" i="1"/>
  <c r="F66" i="1"/>
  <c r="F67" i="1"/>
  <c r="G67" i="1"/>
  <c r="G28" i="1"/>
  <c r="G29" i="1"/>
  <c r="F28" i="1"/>
  <c r="F29" i="1"/>
  <c r="F30" i="1"/>
  <c r="G30" i="1"/>
  <c r="G31" i="1"/>
  <c r="G32" i="1"/>
  <c r="G33" i="1"/>
  <c r="G34" i="1"/>
  <c r="F35" i="1"/>
  <c r="F40" i="1"/>
  <c r="F11" i="1"/>
  <c r="G12" i="1"/>
  <c r="F13" i="1"/>
  <c r="G14" i="1"/>
  <c r="G15" i="1"/>
  <c r="G16" i="1"/>
  <c r="G17" i="1"/>
  <c r="G18" i="1"/>
  <c r="G19" i="1"/>
  <c r="G20" i="1"/>
  <c r="G21" i="1"/>
  <c r="F12" i="1"/>
  <c r="F26" i="1"/>
  <c r="F27" i="1"/>
  <c r="B6" i="1"/>
  <c r="F42" i="1" l="1"/>
  <c r="G52" i="1"/>
  <c r="G48" i="1"/>
  <c r="F36" i="1"/>
  <c r="G58" i="1"/>
  <c r="G68" i="1"/>
  <c r="G65" i="1"/>
  <c r="G63" i="1"/>
  <c r="G62" i="1"/>
  <c r="F55" i="1"/>
  <c r="G50" i="1"/>
  <c r="G47" i="1"/>
  <c r="G46" i="1"/>
  <c r="F45" i="1"/>
  <c r="G41" i="1"/>
  <c r="F39" i="1"/>
  <c r="G38" i="1"/>
  <c r="G35" i="1"/>
  <c r="F34" i="1"/>
  <c r="F32" i="1"/>
  <c r="F33" i="1"/>
  <c r="F16" i="1"/>
  <c r="F15" i="1"/>
  <c r="F14" i="1"/>
  <c r="G13" i="1"/>
  <c r="G11" i="1"/>
  <c r="F21" i="1"/>
  <c r="F20" i="1"/>
  <c r="F19" i="1"/>
  <c r="G64" i="1"/>
  <c r="F18" i="1"/>
  <c r="F17" i="1"/>
  <c r="F60" i="1"/>
  <c r="G44" i="1"/>
  <c r="A50" i="1"/>
  <c r="H49" i="1"/>
  <c r="G57" i="1"/>
  <c r="G49" i="1"/>
  <c r="G66" i="1"/>
  <c r="G69" i="1"/>
  <c r="G51" i="1"/>
  <c r="G26" i="1"/>
  <c r="G24" i="1"/>
  <c r="G23" i="1"/>
  <c r="G22" i="1"/>
  <c r="G27" i="1"/>
  <c r="G37" i="1"/>
  <c r="G40" i="1"/>
  <c r="G25" i="1"/>
  <c r="H50" i="1" l="1"/>
  <c r="A51" i="1"/>
  <c r="H51" i="1" l="1"/>
  <c r="A52" i="1"/>
  <c r="A53" i="1" l="1"/>
  <c r="H52" i="1"/>
  <c r="H53" i="1" l="1"/>
  <c r="A54" i="1"/>
  <c r="H54" i="1" l="1"/>
  <c r="A55" i="1"/>
  <c r="H55" i="1" l="1"/>
  <c r="A56" i="1"/>
  <c r="A57" i="1" l="1"/>
  <c r="H57" i="1" s="1"/>
  <c r="H56" i="1"/>
</calcChain>
</file>

<file path=xl/sharedStrings.xml><?xml version="1.0" encoding="utf-8"?>
<sst xmlns="http://schemas.openxmlformats.org/spreadsheetml/2006/main" count="14" uniqueCount="14">
  <si>
    <t>Motor torque (N.m)</t>
  </si>
  <si>
    <t>Motor speed (rpm)</t>
  </si>
  <si>
    <t>Gravity (m/s^2)</t>
  </si>
  <si>
    <t>Motor speed (rad/s)</t>
  </si>
  <si>
    <t>Wheel inertia</t>
  </si>
  <si>
    <t>Angular momentum</t>
  </si>
  <si>
    <t>Gravity torque (max at 90 degrees)</t>
  </si>
  <si>
    <t>Torque margin (available vs gravitational)</t>
  </si>
  <si>
    <t>Motor mass (kg)</t>
  </si>
  <si>
    <t>Wheel mass (kg)</t>
  </si>
  <si>
    <t>Arm mass(kg)</t>
  </si>
  <si>
    <t>Arm length (m)</t>
  </si>
  <si>
    <t>Wheel diameter(m)</t>
  </si>
  <si>
    <t>Wheel acceleration (rad/s^2)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</si>
</sst>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696F-08C1-4526-9C9E-530DB48D146B}">
  <dimension ref="A1:I69"/>
  <sheetViews>
    <sheetView tabSelected="1" topLeftCell="A4" workbookViewId="0">
      <selection activeCell="D4" sqref="D4"/>
    </sheetView>
  </sheetViews>
  <sheetFormatPr defaultRowHeight="14.5" x14ac:dyDescent="0.35"/>
  <cols>
    <col min="1" max="1" width="17.90625" customWidth="1"/>
    <col min="2" max="2" width="18" customWidth="1"/>
    <col min="3" max="3" width="13.36328125" customWidth="1"/>
    <col min="4" max="4" width="11.453125" bestFit="1" customWidth="1"/>
    <col min="5" max="5" width="12.1796875" customWidth="1"/>
    <col min="6" max="6" width="16.7265625" customWidth="1"/>
    <col min="7" max="7" width="16.81640625" customWidth="1"/>
    <col min="8" max="8" width="12.81640625" customWidth="1"/>
  </cols>
  <sheetData>
    <row r="1" spans="1:9" x14ac:dyDescent="0.35">
      <c r="A1" t="s">
        <v>0</v>
      </c>
      <c r="B1">
        <v>0.13730000000000001</v>
      </c>
    </row>
    <row r="2" spans="1:9" x14ac:dyDescent="0.35">
      <c r="A2" t="s">
        <v>1</v>
      </c>
      <c r="B2">
        <v>245</v>
      </c>
    </row>
    <row r="3" spans="1:9" x14ac:dyDescent="0.35">
      <c r="A3" t="s">
        <v>2</v>
      </c>
      <c r="B3">
        <v>9.81</v>
      </c>
    </row>
    <row r="4" spans="1:9" x14ac:dyDescent="0.35">
      <c r="A4" t="s">
        <v>8</v>
      </c>
      <c r="B4">
        <v>0.1</v>
      </c>
    </row>
    <row r="6" spans="1:9" x14ac:dyDescent="0.35">
      <c r="A6" t="s">
        <v>3</v>
      </c>
      <c r="B6">
        <f>B2*2*PI()/60</f>
        <v>25.656340004316643</v>
      </c>
    </row>
    <row r="9" spans="1:9" x14ac:dyDescent="0.35">
      <c r="A9" t="s">
        <v>11</v>
      </c>
      <c r="B9" t="s">
        <v>12</v>
      </c>
      <c r="C9" t="s">
        <v>9</v>
      </c>
      <c r="D9" t="s">
        <v>4</v>
      </c>
      <c r="E9" t="s">
        <v>6</v>
      </c>
      <c r="F9" t="s">
        <v>13</v>
      </c>
      <c r="G9" t="s">
        <v>5</v>
      </c>
      <c r="H9" t="s">
        <v>7</v>
      </c>
      <c r="I9" t="s">
        <v>10</v>
      </c>
    </row>
    <row r="10" spans="1:9" x14ac:dyDescent="0.35">
      <c r="A10">
        <v>0.06</v>
      </c>
      <c r="B10">
        <v>0.06</v>
      </c>
      <c r="C10">
        <v>0.05</v>
      </c>
      <c r="D10">
        <f>0.5*C10*(B10/2)^2</f>
        <v>2.2500000000000001E-5</v>
      </c>
      <c r="E10">
        <f>$B$3*A10*(I10/2+$B$4+C10)</f>
        <v>9.8884800000000009E-2</v>
      </c>
      <c r="F10">
        <f>$B$1/D10</f>
        <v>6102.2222222222217</v>
      </c>
      <c r="G10">
        <f>D10*$B$6</f>
        <v>5.7726765009712448E-4</v>
      </c>
      <c r="H10" s="1">
        <f>$B$1-E10</f>
        <v>3.8415199999999997E-2</v>
      </c>
      <c r="I10">
        <f>0.6*A10</f>
        <v>3.5999999999999997E-2</v>
      </c>
    </row>
    <row r="11" spans="1:9" x14ac:dyDescent="0.35">
      <c r="A11">
        <v>0.06</v>
      </c>
      <c r="B11">
        <v>0.06</v>
      </c>
      <c r="C11">
        <v>7.4999999999999997E-2</v>
      </c>
      <c r="D11">
        <f t="shared" ref="D11:D69" si="0">0.5*C11*(B11/2)^2</f>
        <v>3.375E-5</v>
      </c>
      <c r="E11">
        <f t="shared" ref="E11:E21" si="1">$B$3*A11*(I11/2+$B$4+C11)</f>
        <v>0.1135998</v>
      </c>
      <c r="F11">
        <f t="shared" ref="F11:F21" si="2">$B$1/D11</f>
        <v>4068.1481481481483</v>
      </c>
      <c r="G11">
        <f t="shared" ref="G11:G21" si="3">D11*$B$6</f>
        <v>8.6590147514568677E-4</v>
      </c>
      <c r="H11" s="1">
        <f t="shared" ref="H11:H21" si="4">$B$1-E11</f>
        <v>2.3700200000000005E-2</v>
      </c>
      <c r="I11">
        <f t="shared" ref="I11:I69" si="5">0.6*A11</f>
        <v>3.5999999999999997E-2</v>
      </c>
    </row>
    <row r="12" spans="1:9" x14ac:dyDescent="0.35">
      <c r="A12">
        <v>0.06</v>
      </c>
      <c r="B12">
        <v>0.06</v>
      </c>
      <c r="C12">
        <v>0.1</v>
      </c>
      <c r="D12">
        <f t="shared" si="0"/>
        <v>4.5000000000000003E-5</v>
      </c>
      <c r="E12">
        <f t="shared" si="1"/>
        <v>0.12831480000000001</v>
      </c>
      <c r="F12">
        <f t="shared" si="2"/>
        <v>3051.1111111111109</v>
      </c>
      <c r="G12">
        <f t="shared" si="3"/>
        <v>1.154535300194249E-3</v>
      </c>
      <c r="H12" s="1">
        <f t="shared" si="4"/>
        <v>8.9851999999999987E-3</v>
      </c>
      <c r="I12">
        <f t="shared" si="5"/>
        <v>3.5999999999999997E-2</v>
      </c>
    </row>
    <row r="13" spans="1:9" x14ac:dyDescent="0.35">
      <c r="A13">
        <v>0.06</v>
      </c>
      <c r="B13">
        <v>7.4999999999999997E-2</v>
      </c>
      <c r="C13">
        <v>0.05</v>
      </c>
      <c r="D13">
        <f t="shared" si="0"/>
        <v>3.5156249999999997E-5</v>
      </c>
      <c r="E13">
        <f t="shared" si="1"/>
        <v>9.8884800000000009E-2</v>
      </c>
      <c r="F13">
        <f t="shared" si="2"/>
        <v>3905.4222222222224</v>
      </c>
      <c r="G13">
        <f t="shared" si="3"/>
        <v>9.0198070327675696E-4</v>
      </c>
      <c r="H13" s="1">
        <f t="shared" si="4"/>
        <v>3.8415199999999997E-2</v>
      </c>
      <c r="I13">
        <f t="shared" si="5"/>
        <v>3.5999999999999997E-2</v>
      </c>
    </row>
    <row r="14" spans="1:9" x14ac:dyDescent="0.35">
      <c r="A14">
        <v>0.06</v>
      </c>
      <c r="B14">
        <v>7.4999999999999997E-2</v>
      </c>
      <c r="C14">
        <v>7.4999999999999997E-2</v>
      </c>
      <c r="D14">
        <f t="shared" si="0"/>
        <v>5.2734374999999999E-5</v>
      </c>
      <c r="E14">
        <f t="shared" si="1"/>
        <v>0.1135998</v>
      </c>
      <c r="F14">
        <f t="shared" si="2"/>
        <v>2603.614814814815</v>
      </c>
      <c r="G14">
        <f t="shared" si="3"/>
        <v>1.3529710549151355E-3</v>
      </c>
      <c r="H14" s="1">
        <f t="shared" si="4"/>
        <v>2.3700200000000005E-2</v>
      </c>
      <c r="I14">
        <f t="shared" si="5"/>
        <v>3.5999999999999997E-2</v>
      </c>
    </row>
    <row r="15" spans="1:9" x14ac:dyDescent="0.35">
      <c r="A15">
        <v>0.06</v>
      </c>
      <c r="B15">
        <v>7.4999999999999997E-2</v>
      </c>
      <c r="C15">
        <v>0.1</v>
      </c>
      <c r="D15">
        <f t="shared" si="0"/>
        <v>7.0312499999999995E-5</v>
      </c>
      <c r="E15">
        <f t="shared" si="1"/>
        <v>0.12831480000000001</v>
      </c>
      <c r="F15">
        <f t="shared" si="2"/>
        <v>1952.7111111111112</v>
      </c>
      <c r="G15">
        <f t="shared" si="3"/>
        <v>1.8039614065535139E-3</v>
      </c>
      <c r="H15" s="1">
        <f t="shared" si="4"/>
        <v>8.9851999999999987E-3</v>
      </c>
      <c r="I15">
        <f t="shared" si="5"/>
        <v>3.5999999999999997E-2</v>
      </c>
    </row>
    <row r="16" spans="1:9" x14ac:dyDescent="0.35">
      <c r="A16">
        <v>0.06</v>
      </c>
      <c r="B16">
        <v>0.09</v>
      </c>
      <c r="C16">
        <v>0.05</v>
      </c>
      <c r="D16">
        <f t="shared" si="0"/>
        <v>5.0624999999999997E-5</v>
      </c>
      <c r="E16">
        <f t="shared" si="1"/>
        <v>9.8884800000000009E-2</v>
      </c>
      <c r="F16">
        <f t="shared" si="2"/>
        <v>2712.0987654320988</v>
      </c>
      <c r="G16">
        <f t="shared" si="3"/>
        <v>1.2988522127185299E-3</v>
      </c>
      <c r="H16" s="1">
        <f t="shared" si="4"/>
        <v>3.8415199999999997E-2</v>
      </c>
      <c r="I16">
        <f t="shared" si="5"/>
        <v>3.5999999999999997E-2</v>
      </c>
    </row>
    <row r="17" spans="1:9" x14ac:dyDescent="0.35">
      <c r="A17">
        <v>0.06</v>
      </c>
      <c r="B17">
        <v>0.09</v>
      </c>
      <c r="C17">
        <v>7.4999999999999997E-2</v>
      </c>
      <c r="D17">
        <f t="shared" si="0"/>
        <v>7.5937499999999996E-5</v>
      </c>
      <c r="E17">
        <f t="shared" si="1"/>
        <v>0.1135998</v>
      </c>
      <c r="F17">
        <f t="shared" si="2"/>
        <v>1808.0658436213994</v>
      </c>
      <c r="G17">
        <f t="shared" si="3"/>
        <v>1.9482783190777949E-3</v>
      </c>
      <c r="H17" s="1">
        <f t="shared" si="4"/>
        <v>2.3700200000000005E-2</v>
      </c>
      <c r="I17">
        <f t="shared" si="5"/>
        <v>3.5999999999999997E-2</v>
      </c>
    </row>
    <row r="18" spans="1:9" x14ac:dyDescent="0.35">
      <c r="A18">
        <v>0.06</v>
      </c>
      <c r="B18">
        <v>0.09</v>
      </c>
      <c r="C18">
        <v>0.1</v>
      </c>
      <c r="D18">
        <f t="shared" si="0"/>
        <v>1.0124999999999999E-4</v>
      </c>
      <c r="E18">
        <f t="shared" si="1"/>
        <v>0.12831480000000001</v>
      </c>
      <c r="F18">
        <f t="shared" si="2"/>
        <v>1356.0493827160494</v>
      </c>
      <c r="G18">
        <f t="shared" si="3"/>
        <v>2.5977044254370599E-3</v>
      </c>
      <c r="H18" s="1">
        <f t="shared" si="4"/>
        <v>8.9851999999999987E-3</v>
      </c>
      <c r="I18">
        <f t="shared" si="5"/>
        <v>3.5999999999999997E-2</v>
      </c>
    </row>
    <row r="19" spans="1:9" x14ac:dyDescent="0.35">
      <c r="A19">
        <v>0.06</v>
      </c>
      <c r="B19">
        <v>0.115</v>
      </c>
      <c r="C19">
        <v>0.05</v>
      </c>
      <c r="D19">
        <f t="shared" si="0"/>
        <v>8.2656250000000007E-5</v>
      </c>
      <c r="E19">
        <f t="shared" si="1"/>
        <v>9.8884800000000009E-2</v>
      </c>
      <c r="F19">
        <f t="shared" si="2"/>
        <v>1661.0964083175802</v>
      </c>
      <c r="G19">
        <f t="shared" si="3"/>
        <v>2.1206568534817977E-3</v>
      </c>
      <c r="H19" s="1">
        <f t="shared" si="4"/>
        <v>3.8415199999999997E-2</v>
      </c>
      <c r="I19">
        <f t="shared" si="5"/>
        <v>3.5999999999999997E-2</v>
      </c>
    </row>
    <row r="20" spans="1:9" x14ac:dyDescent="0.35">
      <c r="A20">
        <v>0.06</v>
      </c>
      <c r="B20">
        <v>0.115</v>
      </c>
      <c r="C20">
        <v>7.4999999999999997E-2</v>
      </c>
      <c r="D20">
        <f t="shared" si="0"/>
        <v>1.2398437499999999E-4</v>
      </c>
      <c r="E20">
        <f t="shared" si="1"/>
        <v>0.1135998</v>
      </c>
      <c r="F20">
        <f t="shared" si="2"/>
        <v>1107.3976055450537</v>
      </c>
      <c r="G20">
        <f t="shared" si="3"/>
        <v>3.1809852802226961E-3</v>
      </c>
      <c r="H20" s="1">
        <f t="shared" si="4"/>
        <v>2.3700200000000005E-2</v>
      </c>
      <c r="I20">
        <f t="shared" si="5"/>
        <v>3.5999999999999997E-2</v>
      </c>
    </row>
    <row r="21" spans="1:9" x14ac:dyDescent="0.35">
      <c r="A21">
        <v>0.06</v>
      </c>
      <c r="B21">
        <v>0.115</v>
      </c>
      <c r="C21">
        <v>0.1</v>
      </c>
      <c r="D21">
        <f t="shared" si="0"/>
        <v>1.6531250000000001E-4</v>
      </c>
      <c r="E21">
        <f t="shared" si="1"/>
        <v>0.12831480000000001</v>
      </c>
      <c r="F21">
        <f t="shared" si="2"/>
        <v>830.5482041587901</v>
      </c>
      <c r="G21">
        <f t="shared" si="3"/>
        <v>4.2413137069635953E-3</v>
      </c>
      <c r="H21" s="1">
        <f t="shared" si="4"/>
        <v>8.9851999999999987E-3</v>
      </c>
      <c r="I21">
        <f t="shared" si="5"/>
        <v>3.5999999999999997E-2</v>
      </c>
    </row>
    <row r="22" spans="1:9" x14ac:dyDescent="0.35">
      <c r="A22">
        <v>7.4999999999999997E-2</v>
      </c>
      <c r="B22">
        <v>0.08</v>
      </c>
      <c r="C22">
        <v>0.05</v>
      </c>
      <c r="D22">
        <f t="shared" si="0"/>
        <v>4.0000000000000003E-5</v>
      </c>
      <c r="E22">
        <f>$B$3*A22*(I22/2+$B$4+C22)</f>
        <v>0.12691687499999998</v>
      </c>
      <c r="F22">
        <f t="shared" ref="F22:F33" si="6">$B$1/D22</f>
        <v>3432.5</v>
      </c>
      <c r="G22">
        <f t="shared" ref="G22:G33" si="7">D22*$B$6</f>
        <v>1.0262536001726659E-3</v>
      </c>
      <c r="H22" s="1">
        <f t="shared" ref="H22:H33" si="8">$B$1-E22</f>
        <v>1.0383125000000021E-2</v>
      </c>
      <c r="I22">
        <f t="shared" si="5"/>
        <v>4.4999999999999998E-2</v>
      </c>
    </row>
    <row r="23" spans="1:9" x14ac:dyDescent="0.35">
      <c r="A23">
        <v>7.4999999999999997E-2</v>
      </c>
      <c r="B23">
        <v>0.08</v>
      </c>
      <c r="C23">
        <v>7.4999999999999997E-2</v>
      </c>
      <c r="D23">
        <f t="shared" si="0"/>
        <v>6.0000000000000002E-5</v>
      </c>
      <c r="E23">
        <f>$B$3*A23*(I23/2+$B$4+C23)</f>
        <v>0.145310625</v>
      </c>
      <c r="F23">
        <f t="shared" si="6"/>
        <v>2288.3333333333335</v>
      </c>
      <c r="G23">
        <f t="shared" si="7"/>
        <v>1.5393804002589986E-3</v>
      </c>
      <c r="H23" s="2">
        <f t="shared" si="8"/>
        <v>-8.0106249999999934E-3</v>
      </c>
      <c r="I23">
        <f t="shared" si="5"/>
        <v>4.4999999999999998E-2</v>
      </c>
    </row>
    <row r="24" spans="1:9" x14ac:dyDescent="0.35">
      <c r="A24">
        <v>7.4999999999999997E-2</v>
      </c>
      <c r="B24">
        <v>0.08</v>
      </c>
      <c r="C24">
        <v>0.1</v>
      </c>
      <c r="D24">
        <f t="shared" si="0"/>
        <v>8.0000000000000007E-5</v>
      </c>
      <c r="E24">
        <f t="shared" ref="E24" si="9">$B$3*A24*(I24/2+$B$4+C24)</f>
        <v>0.16370437500000001</v>
      </c>
      <c r="F24">
        <f t="shared" si="6"/>
        <v>1716.25</v>
      </c>
      <c r="G24">
        <f t="shared" si="7"/>
        <v>2.0525072003453318E-3</v>
      </c>
      <c r="H24" s="2">
        <f t="shared" si="8"/>
        <v>-2.6404375000000008E-2</v>
      </c>
      <c r="I24">
        <f t="shared" si="5"/>
        <v>4.4999999999999998E-2</v>
      </c>
    </row>
    <row r="25" spans="1:9" x14ac:dyDescent="0.35">
      <c r="A25">
        <v>7.4999999999999997E-2</v>
      </c>
      <c r="B25">
        <v>0.1</v>
      </c>
      <c r="C25">
        <v>0.05</v>
      </c>
      <c r="D25">
        <f t="shared" si="0"/>
        <v>6.2500000000000015E-5</v>
      </c>
      <c r="E25">
        <f>$B$3*A25*(I25/2+$B$4+C25)</f>
        <v>0.12691687499999998</v>
      </c>
      <c r="F25">
        <f t="shared" si="6"/>
        <v>2196.7999999999997</v>
      </c>
      <c r="G25">
        <f t="shared" si="7"/>
        <v>1.6035212502697907E-3</v>
      </c>
      <c r="H25" s="2">
        <f t="shared" si="8"/>
        <v>1.0383125000000021E-2</v>
      </c>
      <c r="I25">
        <f t="shared" si="5"/>
        <v>4.4999999999999998E-2</v>
      </c>
    </row>
    <row r="26" spans="1:9" x14ac:dyDescent="0.35">
      <c r="A26">
        <v>7.4999999999999997E-2</v>
      </c>
      <c r="B26">
        <v>0.1</v>
      </c>
      <c r="C26">
        <v>7.4999999999999997E-2</v>
      </c>
      <c r="D26">
        <f t="shared" si="0"/>
        <v>9.3750000000000016E-5</v>
      </c>
      <c r="E26">
        <f t="shared" ref="E26:E69" si="10">$B$3*A26*(I26/2+$B$4+C26)</f>
        <v>0.145310625</v>
      </c>
      <c r="F26">
        <f t="shared" si="6"/>
        <v>1464.5333333333331</v>
      </c>
      <c r="G26">
        <f t="shared" si="7"/>
        <v>2.4052818754046858E-3</v>
      </c>
      <c r="H26" s="2">
        <f t="shared" si="8"/>
        <v>-8.0106249999999934E-3</v>
      </c>
      <c r="I26">
        <f t="shared" si="5"/>
        <v>4.4999999999999998E-2</v>
      </c>
    </row>
    <row r="27" spans="1:9" x14ac:dyDescent="0.35">
      <c r="A27">
        <v>7.4999999999999997E-2</v>
      </c>
      <c r="B27">
        <v>0.1</v>
      </c>
      <c r="C27">
        <v>0.1</v>
      </c>
      <c r="D27">
        <f t="shared" si="0"/>
        <v>1.2500000000000003E-4</v>
      </c>
      <c r="E27">
        <f t="shared" si="10"/>
        <v>0.16370437500000001</v>
      </c>
      <c r="F27">
        <f t="shared" si="6"/>
        <v>1098.3999999999999</v>
      </c>
      <c r="G27">
        <f t="shared" si="7"/>
        <v>3.2070425005395814E-3</v>
      </c>
      <c r="H27" s="2">
        <f t="shared" si="8"/>
        <v>-2.6404375000000008E-2</v>
      </c>
      <c r="I27">
        <f t="shared" si="5"/>
        <v>4.4999999999999998E-2</v>
      </c>
    </row>
    <row r="28" spans="1:9" x14ac:dyDescent="0.35">
      <c r="A28">
        <v>7.4999999999999997E-2</v>
      </c>
      <c r="B28">
        <v>0.12</v>
      </c>
      <c r="C28">
        <v>0.05</v>
      </c>
      <c r="D28">
        <f t="shared" si="0"/>
        <v>9.0000000000000006E-5</v>
      </c>
      <c r="E28">
        <f t="shared" si="10"/>
        <v>0.12691687499999998</v>
      </c>
      <c r="F28">
        <f t="shared" si="6"/>
        <v>1525.5555555555554</v>
      </c>
      <c r="G28">
        <f t="shared" si="7"/>
        <v>2.3090706003884979E-3</v>
      </c>
      <c r="H28" s="2">
        <f t="shared" si="8"/>
        <v>1.0383125000000021E-2</v>
      </c>
      <c r="I28">
        <f t="shared" si="5"/>
        <v>4.4999999999999998E-2</v>
      </c>
    </row>
    <row r="29" spans="1:9" x14ac:dyDescent="0.35">
      <c r="A29">
        <v>7.4999999999999997E-2</v>
      </c>
      <c r="B29">
        <v>0.12</v>
      </c>
      <c r="C29">
        <v>7.4999999999999997E-2</v>
      </c>
      <c r="D29">
        <f t="shared" si="0"/>
        <v>1.35E-4</v>
      </c>
      <c r="E29">
        <f t="shared" si="10"/>
        <v>0.145310625</v>
      </c>
      <c r="F29">
        <f t="shared" si="6"/>
        <v>1017.0370370370371</v>
      </c>
      <c r="G29">
        <f t="shared" si="7"/>
        <v>3.4636059005827471E-3</v>
      </c>
      <c r="H29" s="2">
        <f t="shared" si="8"/>
        <v>-8.0106249999999934E-3</v>
      </c>
      <c r="I29">
        <f t="shared" si="5"/>
        <v>4.4999999999999998E-2</v>
      </c>
    </row>
    <row r="30" spans="1:9" x14ac:dyDescent="0.35">
      <c r="A30">
        <v>7.4999999999999997E-2</v>
      </c>
      <c r="B30">
        <v>0.12</v>
      </c>
      <c r="C30">
        <v>0.1</v>
      </c>
      <c r="D30">
        <f t="shared" si="0"/>
        <v>1.8000000000000001E-4</v>
      </c>
      <c r="E30">
        <f t="shared" si="10"/>
        <v>0.16370437500000001</v>
      </c>
      <c r="F30">
        <f t="shared" si="6"/>
        <v>762.77777777777771</v>
      </c>
      <c r="G30">
        <f t="shared" si="7"/>
        <v>4.6181412007769958E-3</v>
      </c>
      <c r="H30" s="2">
        <f t="shared" si="8"/>
        <v>-2.6404375000000008E-2</v>
      </c>
      <c r="I30">
        <f t="shared" si="5"/>
        <v>4.4999999999999998E-2</v>
      </c>
    </row>
    <row r="31" spans="1:9" x14ac:dyDescent="0.35">
      <c r="A31">
        <v>7.4999999999999997E-2</v>
      </c>
      <c r="B31">
        <v>0.14499999999999999</v>
      </c>
      <c r="C31">
        <v>0.05</v>
      </c>
      <c r="D31">
        <f t="shared" si="0"/>
        <v>1.3140624999999999E-4</v>
      </c>
      <c r="E31">
        <f t="shared" si="10"/>
        <v>0.12691687499999998</v>
      </c>
      <c r="F31">
        <f t="shared" si="6"/>
        <v>1044.8513674197386</v>
      </c>
      <c r="G31">
        <f t="shared" si="7"/>
        <v>3.3714034286922334E-3</v>
      </c>
      <c r="H31" s="2">
        <f t="shared" si="8"/>
        <v>1.0383125000000021E-2</v>
      </c>
      <c r="I31">
        <f t="shared" si="5"/>
        <v>4.4999999999999998E-2</v>
      </c>
    </row>
    <row r="32" spans="1:9" x14ac:dyDescent="0.35">
      <c r="A32">
        <v>7.4999999999999997E-2</v>
      </c>
      <c r="B32">
        <v>0.14499999999999999</v>
      </c>
      <c r="C32">
        <v>7.4999999999999997E-2</v>
      </c>
      <c r="D32">
        <f t="shared" si="0"/>
        <v>1.9710937499999999E-4</v>
      </c>
      <c r="E32">
        <f t="shared" si="10"/>
        <v>0.145310625</v>
      </c>
      <c r="F32">
        <f t="shared" si="6"/>
        <v>696.56757827982563</v>
      </c>
      <c r="G32">
        <f t="shared" si="7"/>
        <v>5.0571051430383504E-3</v>
      </c>
      <c r="H32" s="2">
        <f t="shared" si="8"/>
        <v>-8.0106249999999934E-3</v>
      </c>
      <c r="I32">
        <f t="shared" si="5"/>
        <v>4.4999999999999998E-2</v>
      </c>
    </row>
    <row r="33" spans="1:9" x14ac:dyDescent="0.35">
      <c r="A33">
        <v>7.4999999999999997E-2</v>
      </c>
      <c r="B33">
        <v>0.14499999999999999</v>
      </c>
      <c r="C33">
        <v>0.1</v>
      </c>
      <c r="D33">
        <f t="shared" si="0"/>
        <v>2.6281249999999997E-4</v>
      </c>
      <c r="E33">
        <f t="shared" si="10"/>
        <v>0.16370437500000001</v>
      </c>
      <c r="F33">
        <f t="shared" si="6"/>
        <v>522.4256837098693</v>
      </c>
      <c r="G33">
        <f t="shared" si="7"/>
        <v>6.7428068573844669E-3</v>
      </c>
      <c r="H33" s="2">
        <f t="shared" si="8"/>
        <v>-2.6404375000000008E-2</v>
      </c>
      <c r="I33">
        <f t="shared" si="5"/>
        <v>4.4999999999999998E-2</v>
      </c>
    </row>
    <row r="34" spans="1:9" x14ac:dyDescent="0.35">
      <c r="A34">
        <v>0.1</v>
      </c>
      <c r="B34">
        <v>0.05</v>
      </c>
      <c r="C34">
        <v>0.05</v>
      </c>
      <c r="D34">
        <f t="shared" si="0"/>
        <v>1.5625000000000004E-5</v>
      </c>
      <c r="E34">
        <f t="shared" si="10"/>
        <v>0.17658000000000001</v>
      </c>
      <c r="F34">
        <f t="shared" ref="F34:F42" si="11">$B$1/D34</f>
        <v>8787.1999999999989</v>
      </c>
      <c r="G34">
        <f t="shared" ref="G34:G42" si="12">D34*$B$6</f>
        <v>4.0088031256744767E-4</v>
      </c>
      <c r="H34" s="2">
        <f t="shared" ref="H34:H42" si="13">$B$1-E34</f>
        <v>-3.9280000000000009E-2</v>
      </c>
      <c r="I34">
        <f t="shared" si="5"/>
        <v>0.06</v>
      </c>
    </row>
    <row r="35" spans="1:9" x14ac:dyDescent="0.35">
      <c r="A35">
        <v>0.1</v>
      </c>
      <c r="B35">
        <v>0.05</v>
      </c>
      <c r="C35">
        <v>7.4999999999999997E-2</v>
      </c>
      <c r="D35">
        <f t="shared" si="0"/>
        <v>2.3437500000000004E-5</v>
      </c>
      <c r="E35">
        <f t="shared" si="10"/>
        <v>0.20110500000000003</v>
      </c>
      <c r="F35">
        <f t="shared" si="11"/>
        <v>5858.1333333333323</v>
      </c>
      <c r="G35">
        <f t="shared" si="12"/>
        <v>6.0132046885117145E-4</v>
      </c>
      <c r="H35" s="2">
        <f t="shared" si="13"/>
        <v>-6.3805000000000028E-2</v>
      </c>
      <c r="I35">
        <f t="shared" si="5"/>
        <v>0.06</v>
      </c>
    </row>
    <row r="36" spans="1:9" x14ac:dyDescent="0.35">
      <c r="A36">
        <v>0.1</v>
      </c>
      <c r="B36">
        <v>0.05</v>
      </c>
      <c r="C36">
        <v>0.1</v>
      </c>
      <c r="D36">
        <f t="shared" si="0"/>
        <v>3.1250000000000007E-5</v>
      </c>
      <c r="E36">
        <f t="shared" si="10"/>
        <v>0.22563000000000002</v>
      </c>
      <c r="F36">
        <f t="shared" si="11"/>
        <v>4393.5999999999995</v>
      </c>
      <c r="G36">
        <f t="shared" si="12"/>
        <v>8.0176062513489534E-4</v>
      </c>
      <c r="H36" s="2">
        <f t="shared" si="13"/>
        <v>-8.833000000000002E-2</v>
      </c>
      <c r="I36">
        <f t="shared" si="5"/>
        <v>0.06</v>
      </c>
    </row>
    <row r="37" spans="1:9" x14ac:dyDescent="0.35">
      <c r="A37">
        <v>0.1</v>
      </c>
      <c r="B37">
        <v>7.4999999999999997E-2</v>
      </c>
      <c r="C37">
        <v>0.05</v>
      </c>
      <c r="D37">
        <f t="shared" si="0"/>
        <v>3.5156249999999997E-5</v>
      </c>
      <c r="E37">
        <f t="shared" si="10"/>
        <v>0.17658000000000001</v>
      </c>
      <c r="F37">
        <f t="shared" si="11"/>
        <v>3905.4222222222224</v>
      </c>
      <c r="G37">
        <f t="shared" si="12"/>
        <v>9.0198070327675696E-4</v>
      </c>
      <c r="H37" s="2">
        <f t="shared" si="13"/>
        <v>-3.9280000000000009E-2</v>
      </c>
      <c r="I37">
        <f t="shared" si="5"/>
        <v>0.06</v>
      </c>
    </row>
    <row r="38" spans="1:9" x14ac:dyDescent="0.35">
      <c r="A38">
        <v>0.1</v>
      </c>
      <c r="B38">
        <v>7.4999999999999997E-2</v>
      </c>
      <c r="C38">
        <v>7.4999999999999997E-2</v>
      </c>
      <c r="D38">
        <f t="shared" si="0"/>
        <v>5.2734374999999999E-5</v>
      </c>
      <c r="E38">
        <f t="shared" si="10"/>
        <v>0.20110500000000003</v>
      </c>
      <c r="F38">
        <f t="shared" si="11"/>
        <v>2603.614814814815</v>
      </c>
      <c r="G38">
        <f t="shared" si="12"/>
        <v>1.3529710549151355E-3</v>
      </c>
      <c r="H38" s="2">
        <f t="shared" si="13"/>
        <v>-6.3805000000000028E-2</v>
      </c>
      <c r="I38">
        <f t="shared" si="5"/>
        <v>0.06</v>
      </c>
    </row>
    <row r="39" spans="1:9" x14ac:dyDescent="0.35">
      <c r="A39">
        <v>0.1</v>
      </c>
      <c r="B39">
        <v>7.4999999999999997E-2</v>
      </c>
      <c r="C39">
        <v>0.1</v>
      </c>
      <c r="D39">
        <f t="shared" si="0"/>
        <v>7.0312499999999995E-5</v>
      </c>
      <c r="E39">
        <f t="shared" si="10"/>
        <v>0.22563000000000002</v>
      </c>
      <c r="F39">
        <f t="shared" si="11"/>
        <v>1952.7111111111112</v>
      </c>
      <c r="G39">
        <f t="shared" si="12"/>
        <v>1.8039614065535139E-3</v>
      </c>
      <c r="H39" s="2">
        <f t="shared" si="13"/>
        <v>-8.833000000000002E-2</v>
      </c>
      <c r="I39">
        <f t="shared" si="5"/>
        <v>0.06</v>
      </c>
    </row>
    <row r="40" spans="1:9" x14ac:dyDescent="0.35">
      <c r="A40">
        <v>0.1</v>
      </c>
      <c r="B40">
        <v>0.1</v>
      </c>
      <c r="C40">
        <v>0.05</v>
      </c>
      <c r="D40">
        <f t="shared" si="0"/>
        <v>6.2500000000000015E-5</v>
      </c>
      <c r="E40">
        <f t="shared" si="10"/>
        <v>0.17658000000000001</v>
      </c>
      <c r="F40">
        <f t="shared" si="11"/>
        <v>2196.7999999999997</v>
      </c>
      <c r="G40">
        <f t="shared" si="12"/>
        <v>1.6035212502697907E-3</v>
      </c>
      <c r="H40" s="2">
        <f t="shared" si="13"/>
        <v>-3.9280000000000009E-2</v>
      </c>
      <c r="I40">
        <f t="shared" si="5"/>
        <v>0.06</v>
      </c>
    </row>
    <row r="41" spans="1:9" x14ac:dyDescent="0.35">
      <c r="A41">
        <v>0.1</v>
      </c>
      <c r="B41">
        <v>0.1</v>
      </c>
      <c r="C41">
        <v>7.4999999999999997E-2</v>
      </c>
      <c r="D41">
        <f t="shared" si="0"/>
        <v>9.3750000000000016E-5</v>
      </c>
      <c r="E41">
        <f t="shared" si="10"/>
        <v>0.20110500000000003</v>
      </c>
      <c r="F41">
        <f t="shared" si="11"/>
        <v>1464.5333333333331</v>
      </c>
      <c r="G41">
        <f t="shared" si="12"/>
        <v>2.4052818754046858E-3</v>
      </c>
      <c r="H41" s="2">
        <f t="shared" si="13"/>
        <v>-6.3805000000000028E-2</v>
      </c>
      <c r="I41">
        <f t="shared" si="5"/>
        <v>0.06</v>
      </c>
    </row>
    <row r="42" spans="1:9" x14ac:dyDescent="0.35">
      <c r="A42">
        <v>0.1</v>
      </c>
      <c r="B42">
        <v>0.1</v>
      </c>
      <c r="C42">
        <v>0.1</v>
      </c>
      <c r="D42">
        <f t="shared" si="0"/>
        <v>1.2500000000000003E-4</v>
      </c>
      <c r="E42">
        <f t="shared" si="10"/>
        <v>0.22563000000000002</v>
      </c>
      <c r="F42">
        <f t="shared" si="11"/>
        <v>1098.3999999999999</v>
      </c>
      <c r="G42">
        <f t="shared" si="12"/>
        <v>3.2070425005395814E-3</v>
      </c>
      <c r="H42" s="2">
        <f t="shared" si="13"/>
        <v>-8.833000000000002E-2</v>
      </c>
      <c r="I42">
        <f t="shared" si="5"/>
        <v>0.06</v>
      </c>
    </row>
    <row r="43" spans="1:9" x14ac:dyDescent="0.35">
      <c r="A43">
        <v>0.1</v>
      </c>
      <c r="B43">
        <v>0.15</v>
      </c>
      <c r="C43">
        <v>0.05</v>
      </c>
      <c r="D43">
        <f t="shared" si="0"/>
        <v>1.4062499999999999E-4</v>
      </c>
      <c r="E43">
        <f t="shared" si="10"/>
        <v>0.17658000000000001</v>
      </c>
      <c r="F43">
        <f t="shared" ref="F43:F45" si="14">$B$1/D43</f>
        <v>976.35555555555561</v>
      </c>
      <c r="G43">
        <f t="shared" ref="G43:G45" si="15">D43*$B$6</f>
        <v>3.6079228131070278E-3</v>
      </c>
      <c r="H43" s="2">
        <f t="shared" ref="H43:H45" si="16">$B$1-E43</f>
        <v>-3.9280000000000009E-2</v>
      </c>
      <c r="I43">
        <f t="shared" si="5"/>
        <v>0.06</v>
      </c>
    </row>
    <row r="44" spans="1:9" x14ac:dyDescent="0.35">
      <c r="A44">
        <v>0.1</v>
      </c>
      <c r="B44">
        <v>0.15</v>
      </c>
      <c r="C44">
        <v>7.4999999999999997E-2</v>
      </c>
      <c r="D44">
        <f t="shared" si="0"/>
        <v>2.109375E-4</v>
      </c>
      <c r="E44">
        <f t="shared" si="10"/>
        <v>0.20110500000000003</v>
      </c>
      <c r="F44">
        <f t="shared" si="14"/>
        <v>650.90370370370374</v>
      </c>
      <c r="G44">
        <f t="shared" si="15"/>
        <v>5.411884219660542E-3</v>
      </c>
      <c r="H44" s="2">
        <f t="shared" si="16"/>
        <v>-6.3805000000000028E-2</v>
      </c>
      <c r="I44">
        <f t="shared" si="5"/>
        <v>0.06</v>
      </c>
    </row>
    <row r="45" spans="1:9" x14ac:dyDescent="0.35">
      <c r="A45">
        <v>0.1</v>
      </c>
      <c r="B45">
        <v>0.15</v>
      </c>
      <c r="C45">
        <v>0.1</v>
      </c>
      <c r="D45">
        <f t="shared" si="0"/>
        <v>2.8124999999999998E-4</v>
      </c>
      <c r="E45">
        <f t="shared" si="10"/>
        <v>0.22563000000000002</v>
      </c>
      <c r="F45">
        <f t="shared" si="14"/>
        <v>488.17777777777781</v>
      </c>
      <c r="G45">
        <f t="shared" si="15"/>
        <v>7.2158456262140557E-3</v>
      </c>
      <c r="H45" s="2">
        <f t="shared" si="16"/>
        <v>-8.833000000000002E-2</v>
      </c>
      <c r="I45">
        <f t="shared" si="5"/>
        <v>0.06</v>
      </c>
    </row>
    <row r="46" spans="1:9" x14ac:dyDescent="0.35">
      <c r="A46">
        <v>0.125</v>
      </c>
      <c r="B46">
        <v>0.05</v>
      </c>
      <c r="C46">
        <v>0.05</v>
      </c>
      <c r="D46">
        <f t="shared" si="0"/>
        <v>1.5625000000000004E-5</v>
      </c>
      <c r="E46">
        <f t="shared" si="10"/>
        <v>0.229921875</v>
      </c>
      <c r="F46">
        <f t="shared" ref="F46:F69" si="17">$B$1/D46</f>
        <v>8787.1999999999989</v>
      </c>
      <c r="G46">
        <f t="shared" ref="G46:G69" si="18">D46*$B$6</f>
        <v>4.0088031256744767E-4</v>
      </c>
      <c r="H46" s="2">
        <f t="shared" ref="H46:H69" si="19">$B$1-E46</f>
        <v>-9.2621874999999992E-2</v>
      </c>
      <c r="I46">
        <f t="shared" si="5"/>
        <v>7.4999999999999997E-2</v>
      </c>
    </row>
    <row r="47" spans="1:9" x14ac:dyDescent="0.35">
      <c r="A47">
        <f>A46</f>
        <v>0.125</v>
      </c>
      <c r="B47">
        <v>0.05</v>
      </c>
      <c r="C47">
        <v>7.4999999999999997E-2</v>
      </c>
      <c r="D47">
        <f t="shared" si="0"/>
        <v>2.3437500000000004E-5</v>
      </c>
      <c r="E47">
        <f t="shared" si="10"/>
        <v>0.26057812500000005</v>
      </c>
      <c r="F47">
        <f t="shared" si="17"/>
        <v>5858.1333333333323</v>
      </c>
      <c r="G47">
        <f t="shared" si="18"/>
        <v>6.0132046885117145E-4</v>
      </c>
      <c r="H47" s="2">
        <f t="shared" si="19"/>
        <v>-0.12327812500000004</v>
      </c>
      <c r="I47">
        <f t="shared" si="5"/>
        <v>7.4999999999999997E-2</v>
      </c>
    </row>
    <row r="48" spans="1:9" x14ac:dyDescent="0.35">
      <c r="A48">
        <f t="shared" ref="A48:A57" si="20">A47</f>
        <v>0.125</v>
      </c>
      <c r="B48">
        <v>0.05</v>
      </c>
      <c r="C48">
        <v>0.1</v>
      </c>
      <c r="D48">
        <f t="shared" si="0"/>
        <v>3.1250000000000007E-5</v>
      </c>
      <c r="E48">
        <f t="shared" si="10"/>
        <v>0.29123437500000005</v>
      </c>
      <c r="F48">
        <f t="shared" si="17"/>
        <v>4393.5999999999995</v>
      </c>
      <c r="G48">
        <f t="shared" si="18"/>
        <v>8.0176062513489534E-4</v>
      </c>
      <c r="H48" s="2">
        <f t="shared" si="19"/>
        <v>-0.15393437500000004</v>
      </c>
      <c r="I48">
        <f t="shared" si="5"/>
        <v>7.4999999999999997E-2</v>
      </c>
    </row>
    <row r="49" spans="1:9" x14ac:dyDescent="0.35">
      <c r="A49">
        <f t="shared" si="20"/>
        <v>0.125</v>
      </c>
      <c r="B49">
        <v>0.08</v>
      </c>
      <c r="C49">
        <v>0.05</v>
      </c>
      <c r="D49">
        <f t="shared" si="0"/>
        <v>4.0000000000000003E-5</v>
      </c>
      <c r="E49">
        <f t="shared" si="10"/>
        <v>0.229921875</v>
      </c>
      <c r="F49">
        <f t="shared" si="17"/>
        <v>3432.5</v>
      </c>
      <c r="G49">
        <f t="shared" si="18"/>
        <v>1.0262536001726659E-3</v>
      </c>
      <c r="H49" s="2">
        <f t="shared" si="19"/>
        <v>-9.2621874999999992E-2</v>
      </c>
      <c r="I49">
        <f t="shared" si="5"/>
        <v>7.4999999999999997E-2</v>
      </c>
    </row>
    <row r="50" spans="1:9" x14ac:dyDescent="0.35">
      <c r="A50">
        <f t="shared" si="20"/>
        <v>0.125</v>
      </c>
      <c r="B50">
        <v>0.08</v>
      </c>
      <c r="C50">
        <v>7.4999999999999997E-2</v>
      </c>
      <c r="D50">
        <f t="shared" si="0"/>
        <v>6.0000000000000002E-5</v>
      </c>
      <c r="E50">
        <f t="shared" si="10"/>
        <v>0.26057812500000005</v>
      </c>
      <c r="F50">
        <f t="shared" si="17"/>
        <v>2288.3333333333335</v>
      </c>
      <c r="G50">
        <f t="shared" si="18"/>
        <v>1.5393804002589986E-3</v>
      </c>
      <c r="H50" s="2">
        <f t="shared" si="19"/>
        <v>-0.12327812500000004</v>
      </c>
      <c r="I50">
        <f t="shared" si="5"/>
        <v>7.4999999999999997E-2</v>
      </c>
    </row>
    <row r="51" spans="1:9" x14ac:dyDescent="0.35">
      <c r="A51">
        <f t="shared" si="20"/>
        <v>0.125</v>
      </c>
      <c r="B51">
        <v>0.08</v>
      </c>
      <c r="C51">
        <v>0.1</v>
      </c>
      <c r="D51">
        <f t="shared" si="0"/>
        <v>8.0000000000000007E-5</v>
      </c>
      <c r="E51">
        <f t="shared" si="10"/>
        <v>0.29123437500000005</v>
      </c>
      <c r="F51">
        <f t="shared" si="17"/>
        <v>1716.25</v>
      </c>
      <c r="G51">
        <f t="shared" si="18"/>
        <v>2.0525072003453318E-3</v>
      </c>
      <c r="H51" s="2">
        <f t="shared" si="19"/>
        <v>-0.15393437500000004</v>
      </c>
      <c r="I51">
        <f t="shared" si="5"/>
        <v>7.4999999999999997E-2</v>
      </c>
    </row>
    <row r="52" spans="1:9" x14ac:dyDescent="0.35">
      <c r="A52">
        <f t="shared" si="20"/>
        <v>0.125</v>
      </c>
      <c r="B52">
        <v>0.12</v>
      </c>
      <c r="C52">
        <v>0.05</v>
      </c>
      <c r="D52">
        <f t="shared" si="0"/>
        <v>9.0000000000000006E-5</v>
      </c>
      <c r="E52">
        <f t="shared" si="10"/>
        <v>0.229921875</v>
      </c>
      <c r="F52">
        <f t="shared" si="17"/>
        <v>1525.5555555555554</v>
      </c>
      <c r="G52">
        <f t="shared" si="18"/>
        <v>2.3090706003884979E-3</v>
      </c>
      <c r="H52" s="2">
        <f t="shared" si="19"/>
        <v>-9.2621874999999992E-2</v>
      </c>
      <c r="I52">
        <f t="shared" si="5"/>
        <v>7.4999999999999997E-2</v>
      </c>
    </row>
    <row r="53" spans="1:9" x14ac:dyDescent="0.35">
      <c r="A53">
        <f t="shared" si="20"/>
        <v>0.125</v>
      </c>
      <c r="B53">
        <v>0.12</v>
      </c>
      <c r="C53">
        <v>7.4999999999999997E-2</v>
      </c>
      <c r="D53">
        <f t="shared" si="0"/>
        <v>1.35E-4</v>
      </c>
      <c r="E53">
        <f t="shared" si="10"/>
        <v>0.26057812500000005</v>
      </c>
      <c r="F53">
        <f t="shared" si="17"/>
        <v>1017.0370370370371</v>
      </c>
      <c r="G53">
        <f t="shared" si="18"/>
        <v>3.4636059005827471E-3</v>
      </c>
      <c r="H53" s="2">
        <f t="shared" si="19"/>
        <v>-0.12327812500000004</v>
      </c>
      <c r="I53">
        <f t="shared" si="5"/>
        <v>7.4999999999999997E-2</v>
      </c>
    </row>
    <row r="54" spans="1:9" x14ac:dyDescent="0.35">
      <c r="A54">
        <f t="shared" si="20"/>
        <v>0.125</v>
      </c>
      <c r="B54">
        <v>0.12</v>
      </c>
      <c r="C54">
        <v>0.1</v>
      </c>
      <c r="D54">
        <f t="shared" si="0"/>
        <v>1.8000000000000001E-4</v>
      </c>
      <c r="E54">
        <f t="shared" si="10"/>
        <v>0.29123437500000005</v>
      </c>
      <c r="F54">
        <f t="shared" si="17"/>
        <v>762.77777777777771</v>
      </c>
      <c r="G54">
        <f t="shared" si="18"/>
        <v>4.6181412007769958E-3</v>
      </c>
      <c r="H54">
        <f t="shared" si="19"/>
        <v>-0.15393437500000004</v>
      </c>
      <c r="I54">
        <f t="shared" si="5"/>
        <v>7.4999999999999997E-2</v>
      </c>
    </row>
    <row r="55" spans="1:9" x14ac:dyDescent="0.35">
      <c r="A55">
        <f t="shared" si="20"/>
        <v>0.125</v>
      </c>
      <c r="B55">
        <v>0.2</v>
      </c>
      <c r="C55">
        <v>0.05</v>
      </c>
      <c r="D55">
        <f t="shared" si="0"/>
        <v>2.5000000000000006E-4</v>
      </c>
      <c r="E55">
        <f t="shared" si="10"/>
        <v>0.229921875</v>
      </c>
      <c r="F55">
        <f t="shared" si="17"/>
        <v>549.19999999999993</v>
      </c>
      <c r="G55">
        <f t="shared" si="18"/>
        <v>6.4140850010791627E-3</v>
      </c>
      <c r="H55">
        <f t="shared" si="19"/>
        <v>-9.2621874999999992E-2</v>
      </c>
      <c r="I55">
        <f t="shared" si="5"/>
        <v>7.4999999999999997E-2</v>
      </c>
    </row>
    <row r="56" spans="1:9" x14ac:dyDescent="0.35">
      <c r="A56">
        <f t="shared" si="20"/>
        <v>0.125</v>
      </c>
      <c r="B56">
        <v>0.2</v>
      </c>
      <c r="C56">
        <v>7.4999999999999997E-2</v>
      </c>
      <c r="D56">
        <f t="shared" si="0"/>
        <v>3.7500000000000006E-4</v>
      </c>
      <c r="E56">
        <f t="shared" si="10"/>
        <v>0.26057812500000005</v>
      </c>
      <c r="F56">
        <f t="shared" si="17"/>
        <v>366.13333333333327</v>
      </c>
      <c r="G56">
        <f t="shared" si="18"/>
        <v>9.6211275016187432E-3</v>
      </c>
      <c r="H56">
        <f t="shared" si="19"/>
        <v>-0.12327812500000004</v>
      </c>
      <c r="I56">
        <f t="shared" si="5"/>
        <v>7.4999999999999997E-2</v>
      </c>
    </row>
    <row r="57" spans="1:9" x14ac:dyDescent="0.35">
      <c r="A57">
        <f t="shared" si="20"/>
        <v>0.125</v>
      </c>
      <c r="B57">
        <v>0.2</v>
      </c>
      <c r="C57">
        <v>0.1</v>
      </c>
      <c r="D57">
        <f t="shared" si="0"/>
        <v>5.0000000000000012E-4</v>
      </c>
      <c r="E57">
        <f t="shared" si="10"/>
        <v>0.29123437500000005</v>
      </c>
      <c r="F57">
        <f t="shared" si="17"/>
        <v>274.59999999999997</v>
      </c>
      <c r="G57">
        <f t="shared" si="18"/>
        <v>1.2828170002158325E-2</v>
      </c>
      <c r="H57">
        <f t="shared" si="19"/>
        <v>-0.15393437500000004</v>
      </c>
      <c r="I57">
        <f t="shared" si="5"/>
        <v>7.4999999999999997E-2</v>
      </c>
    </row>
    <row r="58" spans="1:9" x14ac:dyDescent="0.35">
      <c r="A58">
        <v>0.15</v>
      </c>
      <c r="B58">
        <v>0.05</v>
      </c>
      <c r="C58">
        <v>0.05</v>
      </c>
      <c r="D58">
        <f t="shared" si="0"/>
        <v>1.5625000000000004E-5</v>
      </c>
      <c r="E58">
        <f t="shared" si="10"/>
        <v>0.28694249999999999</v>
      </c>
      <c r="F58">
        <f t="shared" si="17"/>
        <v>8787.1999999999989</v>
      </c>
      <c r="G58">
        <f t="shared" si="18"/>
        <v>4.0088031256744767E-4</v>
      </c>
      <c r="H58">
        <f t="shared" si="19"/>
        <v>-0.14964249999999998</v>
      </c>
      <c r="I58">
        <f t="shared" si="5"/>
        <v>0.09</v>
      </c>
    </row>
    <row r="59" spans="1:9" x14ac:dyDescent="0.35">
      <c r="A59">
        <v>0.15</v>
      </c>
      <c r="B59">
        <v>0.05</v>
      </c>
      <c r="C59">
        <v>7.4999999999999997E-2</v>
      </c>
      <c r="D59">
        <f t="shared" si="0"/>
        <v>2.3437500000000004E-5</v>
      </c>
      <c r="E59">
        <f t="shared" si="10"/>
        <v>0.32373000000000007</v>
      </c>
      <c r="F59">
        <f t="shared" si="17"/>
        <v>5858.1333333333323</v>
      </c>
      <c r="G59">
        <f t="shared" si="18"/>
        <v>6.0132046885117145E-4</v>
      </c>
      <c r="H59">
        <f t="shared" si="19"/>
        <v>-0.18643000000000007</v>
      </c>
      <c r="I59">
        <f t="shared" si="5"/>
        <v>0.09</v>
      </c>
    </row>
    <row r="60" spans="1:9" x14ac:dyDescent="0.35">
      <c r="A60">
        <v>0.15</v>
      </c>
      <c r="B60">
        <v>0.05</v>
      </c>
      <c r="C60">
        <v>0.1</v>
      </c>
      <c r="D60">
        <f t="shared" si="0"/>
        <v>3.1250000000000007E-5</v>
      </c>
      <c r="E60">
        <f t="shared" si="10"/>
        <v>0.36051750000000005</v>
      </c>
      <c r="F60">
        <f t="shared" si="17"/>
        <v>4393.5999999999995</v>
      </c>
      <c r="G60">
        <f t="shared" si="18"/>
        <v>8.0176062513489534E-4</v>
      </c>
      <c r="H60">
        <f t="shared" si="19"/>
        <v>-0.22321750000000004</v>
      </c>
      <c r="I60">
        <f t="shared" si="5"/>
        <v>0.09</v>
      </c>
    </row>
    <row r="61" spans="1:9" x14ac:dyDescent="0.35">
      <c r="A61">
        <v>0.15</v>
      </c>
      <c r="B61">
        <v>0.12</v>
      </c>
      <c r="C61">
        <v>0.05</v>
      </c>
      <c r="D61">
        <f t="shared" si="0"/>
        <v>9.0000000000000006E-5</v>
      </c>
      <c r="E61">
        <f t="shared" si="10"/>
        <v>0.28694249999999999</v>
      </c>
      <c r="F61">
        <f t="shared" si="17"/>
        <v>1525.5555555555554</v>
      </c>
      <c r="G61">
        <f t="shared" si="18"/>
        <v>2.3090706003884979E-3</v>
      </c>
      <c r="H61">
        <f t="shared" si="19"/>
        <v>-0.14964249999999998</v>
      </c>
      <c r="I61">
        <f t="shared" si="5"/>
        <v>0.09</v>
      </c>
    </row>
    <row r="62" spans="1:9" x14ac:dyDescent="0.35">
      <c r="A62">
        <v>0.15</v>
      </c>
      <c r="B62">
        <v>0.12</v>
      </c>
      <c r="C62">
        <v>7.4999999999999997E-2</v>
      </c>
      <c r="D62">
        <f t="shared" si="0"/>
        <v>1.35E-4</v>
      </c>
      <c r="E62">
        <f t="shared" si="10"/>
        <v>0.32373000000000007</v>
      </c>
      <c r="F62">
        <f t="shared" si="17"/>
        <v>1017.0370370370371</v>
      </c>
      <c r="G62">
        <f t="shared" si="18"/>
        <v>3.4636059005827471E-3</v>
      </c>
      <c r="H62">
        <f t="shared" si="19"/>
        <v>-0.18643000000000007</v>
      </c>
      <c r="I62">
        <f t="shared" si="5"/>
        <v>0.09</v>
      </c>
    </row>
    <row r="63" spans="1:9" x14ac:dyDescent="0.35">
      <c r="A63">
        <v>0.15</v>
      </c>
      <c r="B63">
        <v>0.12</v>
      </c>
      <c r="C63">
        <v>0.1</v>
      </c>
      <c r="D63">
        <f t="shared" si="0"/>
        <v>1.8000000000000001E-4</v>
      </c>
      <c r="E63">
        <f t="shared" si="10"/>
        <v>0.36051750000000005</v>
      </c>
      <c r="F63">
        <f t="shared" si="17"/>
        <v>762.77777777777771</v>
      </c>
      <c r="G63">
        <f t="shared" si="18"/>
        <v>4.6181412007769958E-3</v>
      </c>
      <c r="H63">
        <f t="shared" si="19"/>
        <v>-0.22321750000000004</v>
      </c>
      <c r="I63">
        <f t="shared" si="5"/>
        <v>0.09</v>
      </c>
    </row>
    <row r="64" spans="1:9" x14ac:dyDescent="0.35">
      <c r="A64">
        <v>0.15</v>
      </c>
      <c r="B64">
        <v>0.2</v>
      </c>
      <c r="C64">
        <v>0.05</v>
      </c>
      <c r="D64">
        <f t="shared" si="0"/>
        <v>2.5000000000000006E-4</v>
      </c>
      <c r="E64">
        <f t="shared" si="10"/>
        <v>0.28694249999999999</v>
      </c>
      <c r="F64">
        <f t="shared" si="17"/>
        <v>549.19999999999993</v>
      </c>
      <c r="G64">
        <f t="shared" si="18"/>
        <v>6.4140850010791627E-3</v>
      </c>
      <c r="H64">
        <f t="shared" si="19"/>
        <v>-0.14964249999999998</v>
      </c>
      <c r="I64">
        <f t="shared" si="5"/>
        <v>0.09</v>
      </c>
    </row>
    <row r="65" spans="1:9" x14ac:dyDescent="0.35">
      <c r="A65">
        <v>0.15</v>
      </c>
      <c r="B65">
        <v>0.2</v>
      </c>
      <c r="C65">
        <v>7.4999999999999997E-2</v>
      </c>
      <c r="D65">
        <f t="shared" si="0"/>
        <v>3.7500000000000006E-4</v>
      </c>
      <c r="E65">
        <f t="shared" si="10"/>
        <v>0.32373000000000007</v>
      </c>
      <c r="F65">
        <f t="shared" si="17"/>
        <v>366.13333333333327</v>
      </c>
      <c r="G65">
        <f t="shared" si="18"/>
        <v>9.6211275016187432E-3</v>
      </c>
      <c r="H65">
        <f t="shared" si="19"/>
        <v>-0.18643000000000007</v>
      </c>
      <c r="I65">
        <f t="shared" si="5"/>
        <v>0.09</v>
      </c>
    </row>
    <row r="66" spans="1:9" x14ac:dyDescent="0.35">
      <c r="A66">
        <v>0.15</v>
      </c>
      <c r="B66">
        <v>0.2</v>
      </c>
      <c r="C66">
        <v>0.1</v>
      </c>
      <c r="D66">
        <f t="shared" si="0"/>
        <v>5.0000000000000012E-4</v>
      </c>
      <c r="E66">
        <f t="shared" si="10"/>
        <v>0.36051750000000005</v>
      </c>
      <c r="F66">
        <f t="shared" si="17"/>
        <v>274.59999999999997</v>
      </c>
      <c r="G66">
        <f t="shared" si="18"/>
        <v>1.2828170002158325E-2</v>
      </c>
      <c r="H66">
        <f t="shared" si="19"/>
        <v>-0.22321750000000004</v>
      </c>
      <c r="I66">
        <f t="shared" si="5"/>
        <v>0.09</v>
      </c>
    </row>
    <row r="67" spans="1:9" x14ac:dyDescent="0.35">
      <c r="A67">
        <v>0.15</v>
      </c>
      <c r="B67">
        <v>0.28000000000000003</v>
      </c>
      <c r="C67">
        <v>0.05</v>
      </c>
      <c r="D67">
        <f t="shared" si="0"/>
        <v>4.9000000000000009E-4</v>
      </c>
      <c r="E67">
        <f t="shared" si="10"/>
        <v>0.28694249999999999</v>
      </c>
      <c r="F67">
        <f t="shared" si="17"/>
        <v>280.20408163265301</v>
      </c>
      <c r="G67">
        <f t="shared" si="18"/>
        <v>1.2571606602115157E-2</v>
      </c>
      <c r="H67">
        <f t="shared" si="19"/>
        <v>-0.14964249999999998</v>
      </c>
      <c r="I67">
        <f t="shared" si="5"/>
        <v>0.09</v>
      </c>
    </row>
    <row r="68" spans="1:9" x14ac:dyDescent="0.35">
      <c r="A68">
        <v>0.15</v>
      </c>
      <c r="B68">
        <v>0.28000000000000003</v>
      </c>
      <c r="C68">
        <v>7.4999999999999997E-2</v>
      </c>
      <c r="D68">
        <f t="shared" si="0"/>
        <v>7.3500000000000008E-4</v>
      </c>
      <c r="E68">
        <f t="shared" si="10"/>
        <v>0.32373000000000007</v>
      </c>
      <c r="F68">
        <f t="shared" si="17"/>
        <v>186.80272108843536</v>
      </c>
      <c r="G68">
        <f t="shared" si="18"/>
        <v>1.8857409903172737E-2</v>
      </c>
      <c r="H68">
        <f t="shared" si="19"/>
        <v>-0.18643000000000007</v>
      </c>
      <c r="I68">
        <f t="shared" si="5"/>
        <v>0.09</v>
      </c>
    </row>
    <row r="69" spans="1:9" x14ac:dyDescent="0.35">
      <c r="A69">
        <v>0.15</v>
      </c>
      <c r="B69">
        <v>0.28000000000000003</v>
      </c>
      <c r="C69">
        <v>0.1</v>
      </c>
      <c r="D69">
        <f t="shared" si="0"/>
        <v>9.8000000000000019E-4</v>
      </c>
      <c r="E69">
        <f t="shared" si="10"/>
        <v>0.36051750000000005</v>
      </c>
      <c r="F69">
        <f t="shared" si="17"/>
        <v>140.10204081632651</v>
      </c>
      <c r="G69">
        <f t="shared" si="18"/>
        <v>2.5143213204230314E-2</v>
      </c>
      <c r="H69">
        <f t="shared" si="19"/>
        <v>-0.22321750000000004</v>
      </c>
      <c r="I69">
        <f t="shared" si="5"/>
        <v>0.09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c781727-710e-4855-bc4c-690266a1b551}" enabled="0" method="" siteId="{dc781727-710e-4855-bc4c-690266a1b5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Jonard Meng</dc:creator>
  <cp:lastModifiedBy>Jonard Meng</cp:lastModifiedBy>
  <dcterms:created xsi:type="dcterms:W3CDTF">2026-09-12T22:18:47Z</dcterms:created>
  <dcterms:modified xsi:type="dcterms:W3CDTF">2026-09-21T03:52:40Z</dcterms:modified>
</cp:coreProperties>
</file>