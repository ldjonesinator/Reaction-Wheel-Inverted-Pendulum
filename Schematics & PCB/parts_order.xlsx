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<sst xmlns="http://schemas.openxmlformats.org/spreadsheetml/2006/main" count="114" uniqueCount="113">
  <si>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</si>
  <si>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</si>
  <si>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</si>
  <si>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</si>
  <si>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</si>
  <si>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Total Price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</si>
  <si>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</si>
  <si>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</si>
  <si>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</si>
  <si>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</si>
  <si>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</si>
  <si>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</si>
  <si>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</si>
  <si>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</si>
  <si>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</si>
  <si>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try to find better cost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</si>
  <si>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</si>
  <si>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</si>
  <si>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</si>
  <si>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</si>
  <si>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</si>
  <si>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</si>
  <si>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</si>
  <si>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</si>
  <si>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</si>
  <si>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</si>
  <si>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</si>
  <si>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</si>
  <si>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</si>
  <si>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</si>
  <si>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</si>
  <si>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</si>
  <si>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</si>
  <si>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</si>
  <si>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</si>
  <si>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</si>
  <si>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</si>
  <si>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</si>
  <si>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</si>
  <si>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</si>
  <si>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10uF Ceramic Capacitor C2012X5R1V106K125AC</t>
  </si>
  <si>
    <t xml:space="preserve">https://www.digikey.co.nz/en/products/detail/tdk/C2012X5R1V106K125AC/3951654 </t>
  </si>
  <si>
    <t xml:space="preserve">445-14418-1-ND</t>
  </si>
  <si>
    <t xml:space="preserve">DOUBLE CHECK THE AMOUNTS AND STUFF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</si>
  <si>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</si>
  <si>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</si>
  <si>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</si>
  <si>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12pF Ceramic Capacitor KGM15ACG2A120JM</t>
  </si>
  <si>
    <t xml:space="preserve">https://www.digikey.co.nz/en/products/detail/kyocera-avx/KGM15ACG2A120JM/1598332 </t>
  </si>
  <si>
    <t xml:space="preserve">478-KGM15ACG2A120JMCT-ND</t>
  </si>
  <si>
    <t xml:space="preserve">47uF Ceramic Capacitor JMK212BBJ476MG-T</t>
  </si>
  <si>
    <t xml:space="preserve">https://www.digikey.co.nz/en/products/detail/taiyo-yuden/JMK212BBJ476MG-T/4970731 </t>
  </si>
  <si>
    <t xml:space="preserve">587-4280-1-ND</t>
  </si>
  <si>
    <t xml:space="preserve">might need to find high esr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</si>
  <si>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</si>
  <si>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</si>
  <si>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</si>
  <si>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</si>
  <si>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</si>
  <si>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</si>
  <si>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</si>
  <si>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</si>
  <si>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</si>
  <si>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PMOS 30V 4.3A DMP3056L-7</t>
  </si>
  <si>
    <r>
      <rPr>
        <sz val="12"/>
        <color rgb="FF0000FF"/>
        <rFont val="Calibri"/>
        <family val="2"/>
        <charset val="1"/>
      </rPr>
      <t xml:space="preserve">https://www.digikey.co.nz/en/products/detail/diodes-incorporated/DMP3056L-7/5126843</t>
    </r>
    <r>
      <rPr>
        <sz val="12"/>
        <rFont val="Calibri"/>
        <family val="2"/>
        <charset val="1"/>
      </rPr>
      <t xml:space="preserve"> </t>
    </r>
  </si>
  <si>
    <t xml:space="preserve">DMP3056L-7DICT-ND</t>
  </si>
  <si>
    <t xml:space="preserve">NMOS 60 V 265mA NX138BKR</t>
  </si>
  <si>
    <r>
      <rPr>
        <sz val="12"/>
        <color rgb="FF0000FF"/>
        <rFont val="Calibri"/>
        <family val="2"/>
        <charset val="1"/>
      </rPr>
      <t xml:space="preserve">https://www.digikey.co.nz/en/products/detail/nexperia-usa-inc/NX138BKR/5981270</t>
    </r>
    <r>
      <rPr>
        <sz val="12"/>
        <rFont val="Calibri"/>
        <family val="2"/>
        <charset val="1"/>
      </rPr>
      <t xml:space="preserve"> </t>
    </r>
  </si>
  <si>
    <t xml:space="preserve">1727-2662-1-ND</t>
  </si>
  <si>
    <t xml:space="preserve">NMOS 20 V 3A SLMT320V3CN</t>
  </si>
  <si>
    <r>
      <rPr>
        <sz val="12"/>
        <color rgb="FF0000FF"/>
        <rFont val="Calibri"/>
        <family val="2"/>
        <charset val="1"/>
      </rPr>
      <t xml:space="preserve">https://www.digikey.co.nz/en/products/detail/shenzhen-slkormicro-semicon-co-ltd/SLMT320V3CN/29782446</t>
    </r>
    <r>
      <rPr>
        <sz val="12"/>
        <rFont val="Calibri"/>
        <family val="2"/>
        <charset val="1"/>
      </rPr>
      <t xml:space="preserve"> </t>
    </r>
  </si>
  <si>
    <t xml:space="preserve">5399-SLMT320V3CNCT-ND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</si>
  <si>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</si>
  <si>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</si>
  <si>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</si>
  <si>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</si>
  <si>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</si>
  <si>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</si>
  <si>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422k Thick Film resistor CRCW0805422KFKEA</t>
  </si>
  <si>
    <t xml:space="preserve">https://www.digikey.co.nz/en/products/detail/vishay-dale/CRCW0805422KFKEA/1175961 </t>
  </si>
  <si>
    <t xml:space="preserve">541-422KCCT-ND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</si>
  <si>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</si>
  <si>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</si>
  <si>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</si>
  <si>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</si>
  <si>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</si>
  <si>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</si>
  <si>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</si>
  <si>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</si>
  <si>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</si>
  <si>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</si>
  <si>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</si>
  <si>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</si>
  <si>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r>
      <rPr>
        <sz val="12"/>
        <rFont val="Calibri"/>
        <family val="2"/>
        <charset val="1"/>
      </rPr>
      <t xml:space="preserve">82k </t>
    </r>
    <r>
      <rPr>
        <sz val="12"/>
        <rFont val="Calibri"/>
        <family val="2"/>
      </rPr>
      <t xml:space="preserve">Thick Film resistor</t>
    </r>
    <r>
      <rPr>
        <sz val="12"/>
        <rFont val="Calibri"/>
        <family val="2"/>
        <charset val="1"/>
      </rPr>
      <t xml:space="preserve"> CRCW080582K0FKEA</t>
    </r>
  </si>
  <si>
    <r>
      <rPr>
        <sz val="12"/>
        <color rgb="FF0000FF"/>
        <rFont val="Calibri"/>
        <family val="2"/>
        <charset val="1"/>
      </rPr>
      <t xml:space="preserve">https://www.digikey.co.nz/en/products/detail/vishay-dale/CRCW080582K0FKEA/1175855</t>
    </r>
    <r>
      <rPr>
        <sz val="12"/>
        <rFont val="Calibri"/>
        <family val="2"/>
        <charset val="1"/>
      </rPr>
      <t xml:space="preserve"> </t>
    </r>
  </si>
  <si>
    <t xml:space="preserve">541-82.0KCCT-ND</t>
  </si>
  <si>
    <r>
      <rPr>
        <sz val="12"/>
        <rFont val="Calibri"/>
        <family val="2"/>
        <charset val="1"/>
      </rPr>
      <t xml:space="preserve">100k </t>
    </r>
    <r>
      <rPr>
        <sz val="12"/>
        <rFont val="Calibri"/>
        <family val="2"/>
      </rPr>
      <t xml:space="preserve">Thick Film resistor CRCW0805100KFKEA</t>
    </r>
  </si>
  <si>
    <r>
      <rPr>
        <sz val="12"/>
        <color rgb="FF0000FF"/>
        <rFont val="Calibri"/>
        <family val="2"/>
        <charset val="1"/>
      </rPr>
      <t xml:space="preserve">https://www.digikey.co.nz/en/products/detail/vishay-dale/CRCW0805100KFKEA/1175865</t>
    </r>
    <r>
      <rPr>
        <sz val="12"/>
        <rFont val="Calibri"/>
        <family val="2"/>
        <charset val="1"/>
      </rPr>
      <t xml:space="preserve"> </t>
    </r>
  </si>
  <si>
    <t xml:space="preserve">541-100KCCT-ND</t>
  </si>
  <si>
    <r>
      <rPr>
        <sz val="12"/>
        <rFont val="Calibri"/>
        <family val="2"/>
        <charset val="1"/>
      </rPr>
      <t xml:space="preserve">180 </t>
    </r>
    <r>
      <rPr>
        <sz val="12"/>
        <rFont val="Calibri"/>
        <family val="2"/>
      </rPr>
      <t xml:space="preserve">Thick Film resistor</t>
    </r>
    <r>
      <rPr>
        <sz val="12"/>
        <rFont val="Calibri"/>
        <family val="2"/>
        <charset val="1"/>
      </rPr>
      <t xml:space="preserve"> RC0805JR-07180RL</t>
    </r>
  </si>
  <si>
    <r>
      <rPr>
        <sz val="12"/>
        <color rgb="FF0000FF"/>
        <rFont val="Calibri"/>
        <family val="2"/>
        <charset val="1"/>
      </rPr>
      <t xml:space="preserve">https://www.digikey.co.nz/en/products/detail/yageo/RC0805JR-07180RL/728263</t>
    </r>
    <r>
      <rPr>
        <sz val="12"/>
        <rFont val="Calibri"/>
        <family val="2"/>
        <charset val="1"/>
      </rPr>
      <t xml:space="preserve"> </t>
    </r>
  </si>
  <si>
    <t xml:space="preserve">311-180ARCT-ND</t>
  </si>
  <si>
    <t xml:space="preserve">2.7k Thick Film Resistor CRG0805F2K7</t>
  </si>
  <si>
    <r>
      <rPr>
        <sz val="12"/>
        <color rgb="FF0000FF"/>
        <rFont val="Calibri"/>
        <family val="2"/>
        <charset val="1"/>
      </rPr>
      <t xml:space="preserve">https://www.digikey.co.nz/en/products/detail/te-connectivity-passive-product/CRG0805F2K7/2380883</t>
    </r>
    <r>
      <rPr>
        <sz val="12"/>
        <rFont val="Calibri"/>
        <family val="2"/>
        <charset val="1"/>
      </rPr>
      <t xml:space="preserve"> </t>
    </r>
  </si>
  <si>
    <t xml:space="preserve">A126359CT-ND</t>
  </si>
  <si>
    <t xml:space="preserve">Orange LED 2mA XZCM2MOK54WA-1VF</t>
  </si>
  <si>
    <r>
      <rPr>
        <sz val="12"/>
        <color rgb="FF0000FF"/>
        <rFont val="Calibri"/>
        <family val="2"/>
        <charset val="1"/>
      </rPr>
      <t xml:space="preserve">https://www.digikey.co.nz/en/products/detail/sunled/XZCM2MOK54WA-1VF/15761908</t>
    </r>
    <r>
      <rPr>
        <sz val="12"/>
        <rFont val="Calibri"/>
        <family val="2"/>
        <charset val="1"/>
      </rPr>
      <t xml:space="preserve"> </t>
    </r>
  </si>
  <si>
    <t xml:space="preserve">1497-XZCM2MOK54WA-1VFCT-ND</t>
  </si>
  <si>
    <t xml:space="preserve">White LED 5mA LW Q98G.01-R2T1-3K6L-1-5-R18</t>
  </si>
  <si>
    <r>
      <rPr>
        <sz val="12"/>
        <color rgb="FF0000FF"/>
        <rFont val="Calibri"/>
        <family val="2"/>
        <charset val="1"/>
      </rPr>
      <t xml:space="preserve">https://www.digikey.co.nz/en/products/detail/ams-osram-ag/LW-Q98G-01-R2T1-3K6L-1-5-R18/21556497</t>
    </r>
    <r>
      <rPr>
        <sz val="12"/>
        <rFont val="Calibri"/>
        <family val="2"/>
        <charset val="1"/>
      </rPr>
      <t xml:space="preserve"> </t>
    </r>
  </si>
  <si>
    <t xml:space="preserve">475-LWQ98G.01-R2T1-3K6L-1CT-ND</t>
  </si>
  <si>
    <t xml:space="preserve">add female connectors for raspberry pi pico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</si>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</sst>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6"/>
      <name val="Arial"/>
      <family val="2"/>
      <charset val="1"/>
    </font>
    <font>
      <sz val="12"/>
      <color rgb="FF0000FF"/>
      <name val="Calibri"/>
      <family val="2"/>
      <charset val="1"/>
    </font>
    <font>
      <sz val="12"/>
      <name val="Calibri"/>
      <family val="2"/>
    </font>
    <font>
      <b val="true"/>
      <u val="singl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w&#252;rth-elektronik/860010672004/5726903" TargetMode="External"/><Relationship Id="rId11" Type="http://schemas.openxmlformats.org/officeDocument/2006/relationships/hyperlink" Target="https://www.digikey.co.nz/en/products/detail/samsung-electro-mechanics/CL21B104KBCNNNC/3886661" TargetMode="External"/><Relationship Id="rId12" Type="http://schemas.openxmlformats.org/officeDocument/2006/relationships/hyperlink" Target="https://www.digikey.co.nz/en/products/detail/tdk/C2012X5R1V106K125AC/3951654" TargetMode="External"/><Relationship Id="rId13" Type="http://schemas.openxmlformats.org/officeDocument/2006/relationships/hyperlink" Target="https://www.digikey.co.nz/en/products/detail/murata-electronics/GCM1885C2A470JA16J/2591757" TargetMode="External"/><Relationship Id="rId14" Type="http://schemas.openxmlformats.org/officeDocument/2006/relationships/hyperlink" Target="https://www.digikey.co.nz/en/products/detail/kyocera-avx/KGM15ACG2A120JM/1598332" TargetMode="External"/><Relationship Id="rId15" Type="http://schemas.openxmlformats.org/officeDocument/2006/relationships/hyperlink" Target="https://www.digikey.co.nz/en/products/detail/taiyo-yuden/JMK212BBJ476MG-T/4970731" TargetMode="External"/><Relationship Id="rId16" Type="http://schemas.openxmlformats.org/officeDocument/2006/relationships/hyperlink" Target="https://www.digikey.co.nz/en/products/detail/tdk/SLF7045T-6R8M1R7-PF/755381" TargetMode="External"/><Relationship Id="rId17" Type="http://schemas.openxmlformats.org/officeDocument/2006/relationships/hyperlink" Target="https://www.digikey.co.nz/en/products/detail/onsemi/FQD8P10TM/1054070" TargetMode="External"/><Relationship Id="rId18" Type="http://schemas.openxmlformats.org/officeDocument/2006/relationships/hyperlink" Target="https://www.digikey.co.nz/en/products/detail/onsemi/MM3Z24VT1G/661665" TargetMode="External"/><Relationship Id="rId19" Type="http://schemas.openxmlformats.org/officeDocument/2006/relationships/hyperlink" Target="https://www.digikey.co.nz/en/products/detail/diodes-incorporated/DMP3056L-7/5126843" TargetMode="External"/><Relationship Id="rId20" Type="http://schemas.openxmlformats.org/officeDocument/2006/relationships/hyperlink" Target="https://www.digikey.co.nz/en/products/detail/nexperia-usa-inc/NX138BKR/5981270" TargetMode="External"/><Relationship Id="rId21" Type="http://schemas.openxmlformats.org/officeDocument/2006/relationships/hyperlink" Target="https://www.digikey.co.nz/en/products/detail/shenzhen-slkormicro-semicon-co-ltd/SLMT320V3CN/29782446" TargetMode="External"/><Relationship Id="rId22" Type="http://schemas.openxmlformats.org/officeDocument/2006/relationships/hyperlink" Target="https://www.digikey.co.nz/en/products/detail/bourns-inc/CR0805-FX-3012ELF/3784840" TargetMode="External"/><Relationship Id="rId23" Type="http://schemas.openxmlformats.org/officeDocument/2006/relationships/hyperlink" Target="https://www.digikey.co.nz/en/products/detail/bourns-inc/CR0805-FX-1583ELF/3784668" TargetMode="External"/><Relationship Id="rId24" Type="http://schemas.openxmlformats.org/officeDocument/2006/relationships/hyperlink" Target="https://www.digikey.co.nz/en/products/detail/vishay-dale/CRCW0805422KFKEA/1175961" TargetMode="External"/><Relationship Id="rId25" Type="http://schemas.openxmlformats.org/officeDocument/2006/relationships/hyperlink" Target="https://www.digikey.co.nz/en/products/detail/stackpole-electronics-inc/RMCF0805FT10K0/1760676" TargetMode="External"/><Relationship Id="rId26" Type="http://schemas.openxmlformats.org/officeDocument/2006/relationships/hyperlink" Target="https://www.digikey.co.nz/en/products/detail/stackpole-electronics-inc/RNCP0805FTD1K00/2240229" TargetMode="External"/><Relationship Id="rId27" Type="http://schemas.openxmlformats.org/officeDocument/2006/relationships/hyperlink" Target="https://www.digikey.co.nz/en/products/detail/te-connectivity-passive-product/RLC73PD2BR169FTD/19238107" TargetMode="External"/><Relationship Id="rId28" Type="http://schemas.openxmlformats.org/officeDocument/2006/relationships/hyperlink" Target="https://www.digikey.co.nz/en/products/detail/bourns-inc/PDB181-B225K-103B/6153329" TargetMode="External"/><Relationship Id="rId29" Type="http://schemas.openxmlformats.org/officeDocument/2006/relationships/hyperlink" Target="https://www.digikey.co.nz/en/products/detail/vishay-dale/CRCW080582K0FKEA/1175855" TargetMode="External"/><Relationship Id="rId30" Type="http://schemas.openxmlformats.org/officeDocument/2006/relationships/hyperlink" Target="https://www.digikey.co.nz/en/products/detail/vishay-dale/CRCW0805100KFKEA/1175865" TargetMode="External"/><Relationship Id="rId31" Type="http://schemas.openxmlformats.org/officeDocument/2006/relationships/hyperlink" Target="https://www.digikey.co.nz/en/products/detail/yageo/RC0805JR-07180RL/728263" TargetMode="External"/><Relationship Id="rId32" Type="http://schemas.openxmlformats.org/officeDocument/2006/relationships/hyperlink" Target="https://www.digikey.co.nz/en/products/detail/te-connectivity-passive-product/CRG0805F2K7/2380883" TargetMode="External"/><Relationship Id="rId33" Type="http://schemas.openxmlformats.org/officeDocument/2006/relationships/hyperlink" Target="https://www.digikey.co.nz/en/products/detail/sunled/XZCM2MOK54WA-1VF/15761908" TargetMode="External"/><Relationship Id="rId34" Type="http://schemas.openxmlformats.org/officeDocument/2006/relationships/hyperlink" Target="https://www.digikey.co.nz/en/products/detail/ams-osram-ag/LW-Q98G-01-R2T1-3K6L-1-5-R18/2155649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4.4"/>
    <col collapsed="false" customWidth="true" hidden="false" outlineLevel="0" max="5" min="5" style="1" width="10.06"/>
    <col collapsed="false" customWidth="true" hidden="false" outlineLevel="0" max="9" min="9" style="0" width="10.43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2" t="s">
        <v>5</v>
      </c>
    </row>
    <row r="3" customFormat="false" ht="15.65" hidden="false" customHeight="false" outlineLevel="0" collapsed="false">
      <c r="B3" s="4" t="s">
        <v>6</v>
      </c>
      <c r="C3" s="5" t="s">
        <v>7</v>
      </c>
      <c r="D3" s="4" t="s">
        <v>8</v>
      </c>
      <c r="E3" s="6" t="n">
        <v>1</v>
      </c>
      <c r="F3" s="7" t="n">
        <v>1.76</v>
      </c>
      <c r="G3" s="8" t="n">
        <f aca="false">E3*F3</f>
        <v>1.76</v>
      </c>
    </row>
    <row r="4" customFormat="false" ht="15.65" hidden="false" customHeight="false" outlineLevel="0" collapsed="false">
      <c r="B4" s="4" t="s">
        <v>9</v>
      </c>
      <c r="C4" s="5" t="s">
        <v>10</v>
      </c>
      <c r="D4" s="4" t="s">
        <v>11</v>
      </c>
      <c r="E4" s="6" t="n">
        <v>1</v>
      </c>
      <c r="F4" s="7" t="n">
        <v>2.86</v>
      </c>
      <c r="G4" s="8" t="n">
        <f aca="false">E4*F4</f>
        <v>2.86</v>
      </c>
    </row>
    <row r="5" customFormat="false" ht="15.65" hidden="false" customHeight="false" outlineLevel="0" collapsed="false">
      <c r="B5" s="4" t="s">
        <v>12</v>
      </c>
      <c r="C5" s="5" t="s">
        <v>13</v>
      </c>
      <c r="D5" s="4" t="s">
        <v>14</v>
      </c>
      <c r="E5" s="6" t="n">
        <v>1</v>
      </c>
      <c r="F5" s="7" t="n">
        <v>14.04</v>
      </c>
      <c r="G5" s="8" t="n">
        <f aca="false">E5*F5</f>
        <v>14.04</v>
      </c>
      <c r="H5" s="9" t="s">
        <v>15</v>
      </c>
    </row>
    <row r="6" customFormat="false" ht="15.65" hidden="false" customHeight="false" outlineLevel="0" collapsed="false">
      <c r="B6" s="4" t="s">
        <v>16</v>
      </c>
      <c r="C6" s="5" t="s">
        <v>17</v>
      </c>
      <c r="D6" s="4" t="s">
        <v>18</v>
      </c>
      <c r="E6" s="6" t="n">
        <v>1</v>
      </c>
      <c r="F6" s="7" t="n">
        <v>14.04</v>
      </c>
      <c r="G6" s="8" t="n">
        <f aca="false">E6*F6</f>
        <v>14.04</v>
      </c>
      <c r="H6" s="9" t="s">
        <v>15</v>
      </c>
    </row>
    <row r="7" customFormat="false" ht="15.65" hidden="false" customHeight="false" outlineLevel="0" collapsed="false">
      <c r="B7" s="10" t="s">
        <v>19</v>
      </c>
      <c r="C7" s="11" t="s">
        <v>20</v>
      </c>
      <c r="D7" s="10" t="s">
        <v>21</v>
      </c>
      <c r="E7" s="6" t="n">
        <v>1</v>
      </c>
      <c r="F7" s="12" t="n">
        <v>0.62</v>
      </c>
      <c r="G7" s="8" t="n">
        <f aca="false">E7*F7</f>
        <v>0.62</v>
      </c>
    </row>
    <row r="8" customFormat="false" ht="15.65" hidden="false" customHeight="false" outlineLevel="0" collapsed="false">
      <c r="B8" s="10" t="s">
        <v>22</v>
      </c>
      <c r="C8" s="11" t="s">
        <v>23</v>
      </c>
      <c r="D8" s="10" t="s">
        <v>24</v>
      </c>
      <c r="E8" s="6" t="n">
        <v>1</v>
      </c>
      <c r="F8" s="12" t="n">
        <v>0.7</v>
      </c>
      <c r="G8" s="8" t="n">
        <f aca="false">E8*F8</f>
        <v>0.7</v>
      </c>
    </row>
    <row r="9" customFormat="false" ht="15.65" hidden="false" customHeight="false" outlineLevel="0" collapsed="false">
      <c r="B9" s="10" t="s">
        <v>25</v>
      </c>
      <c r="C9" s="11" t="s">
        <v>26</v>
      </c>
      <c r="D9" s="10" t="s">
        <v>27</v>
      </c>
      <c r="E9" s="6" t="n">
        <v>1</v>
      </c>
      <c r="F9" s="12" t="n">
        <v>1.34</v>
      </c>
      <c r="G9" s="8" t="n">
        <f aca="false">E9*F9</f>
        <v>1.34</v>
      </c>
    </row>
    <row r="10" customFormat="false" ht="15.65" hidden="false" customHeight="false" outlineLevel="0" collapsed="false">
      <c r="B10" s="10" t="s">
        <v>28</v>
      </c>
      <c r="C10" s="11" t="s">
        <v>29</v>
      </c>
      <c r="D10" s="10" t="s">
        <v>30</v>
      </c>
      <c r="E10" s="6" t="n">
        <v>2</v>
      </c>
      <c r="F10" s="12" t="n">
        <v>0.6</v>
      </c>
      <c r="G10" s="8" t="n">
        <f aca="false">E10*F10</f>
        <v>1.2</v>
      </c>
    </row>
    <row r="11" customFormat="false" ht="15.65" hidden="false" customHeight="false" outlineLevel="0" collapsed="false">
      <c r="B11" s="10" t="s">
        <v>31</v>
      </c>
      <c r="C11" s="11" t="s">
        <v>32</v>
      </c>
      <c r="D11" s="10" t="s">
        <v>33</v>
      </c>
      <c r="E11" s="6" t="n">
        <v>1</v>
      </c>
      <c r="F11" s="12" t="n">
        <v>0.49</v>
      </c>
      <c r="G11" s="8" t="n">
        <f aca="false">E11*F11</f>
        <v>0.49</v>
      </c>
    </row>
    <row r="12" customFormat="false" ht="15" hidden="false" customHeight="false" outlineLevel="0" collapsed="false">
      <c r="B12" s="10"/>
      <c r="C12" s="10"/>
      <c r="D12" s="10"/>
      <c r="E12" s="10"/>
      <c r="F12" s="13"/>
      <c r="G12" s="8" t="n">
        <f aca="false">E12*F12</f>
        <v>0</v>
      </c>
    </row>
    <row r="13" customFormat="false" ht="15.65" hidden="false" customHeight="false" outlineLevel="0" collapsed="false">
      <c r="B13" s="10" t="s">
        <v>34</v>
      </c>
      <c r="C13" s="11" t="s">
        <v>35</v>
      </c>
      <c r="D13" s="10" t="s">
        <v>36</v>
      </c>
      <c r="E13" s="6" t="n">
        <v>1</v>
      </c>
      <c r="F13" s="12" t="n">
        <v>0.18</v>
      </c>
      <c r="G13" s="8" t="n">
        <f aca="false">E13*F13</f>
        <v>0.18</v>
      </c>
    </row>
    <row r="14" customFormat="false" ht="15.65" hidden="false" customHeight="false" outlineLevel="0" collapsed="false">
      <c r="B14" s="10" t="s">
        <v>37</v>
      </c>
      <c r="C14" s="11" t="s">
        <v>38</v>
      </c>
      <c r="D14" s="10" t="s">
        <v>39</v>
      </c>
      <c r="E14" s="6"/>
      <c r="F14" s="12" t="n">
        <v>0.18</v>
      </c>
      <c r="G14" s="8" t="n">
        <f aca="false">E14*F14</f>
        <v>0</v>
      </c>
    </row>
    <row r="15" customFormat="false" ht="19.7" hidden="false" customHeight="false" outlineLevel="0" collapsed="false">
      <c r="B15" s="10" t="s">
        <v>40</v>
      </c>
      <c r="C15" s="11" t="s">
        <v>41</v>
      </c>
      <c r="D15" s="10" t="s">
        <v>42</v>
      </c>
      <c r="E15" s="6"/>
      <c r="F15" s="12" t="n">
        <v>0.86</v>
      </c>
      <c r="G15" s="8" t="n">
        <f aca="false">E15*F15</f>
        <v>0</v>
      </c>
      <c r="I15" s="14" t="s">
        <v>43</v>
      </c>
    </row>
    <row r="16" customFormat="false" ht="15.65" hidden="false" customHeight="false" outlineLevel="0" collapsed="false">
      <c r="B16" s="10"/>
      <c r="C16" s="11"/>
      <c r="D16" s="10"/>
      <c r="E16" s="6"/>
      <c r="F16" s="12"/>
      <c r="G16" s="8" t="n">
        <f aca="false">E16*F16</f>
        <v>0</v>
      </c>
    </row>
    <row r="17" customFormat="false" ht="15.65" hidden="false" customHeight="false" outlineLevel="0" collapsed="false">
      <c r="B17" s="10" t="s">
        <v>44</v>
      </c>
      <c r="C17" s="11" t="s">
        <v>45</v>
      </c>
      <c r="D17" s="10" t="s">
        <v>46</v>
      </c>
      <c r="E17" s="6"/>
      <c r="F17" s="12" t="n">
        <v>0.18</v>
      </c>
      <c r="G17" s="8" t="n">
        <f aca="false">E17*F17</f>
        <v>0</v>
      </c>
    </row>
    <row r="18" customFormat="false" ht="15.65" hidden="false" customHeight="false" outlineLevel="0" collapsed="false">
      <c r="B18" s="10" t="s">
        <v>47</v>
      </c>
      <c r="C18" s="11" t="s">
        <v>48</v>
      </c>
      <c r="D18" s="10" t="s">
        <v>49</v>
      </c>
      <c r="E18" s="6"/>
      <c r="F18" s="12" t="n">
        <v>0.18</v>
      </c>
      <c r="G18" s="8" t="n">
        <f aca="false">E18*F18</f>
        <v>0</v>
      </c>
    </row>
    <row r="19" customFormat="false" ht="15.65" hidden="false" customHeight="false" outlineLevel="0" collapsed="false">
      <c r="B19" s="15" t="s">
        <v>50</v>
      </c>
      <c r="C19" s="16" t="s">
        <v>51</v>
      </c>
      <c r="D19" s="15" t="s">
        <v>52</v>
      </c>
      <c r="E19" s="17" t="n">
        <v>2</v>
      </c>
      <c r="F19" s="18" t="n">
        <v>0.57</v>
      </c>
      <c r="G19" s="19" t="n">
        <f aca="false">E19*F19</f>
        <v>1.14</v>
      </c>
      <c r="H19" s="20"/>
      <c r="I19" s="20" t="s">
        <v>53</v>
      </c>
    </row>
    <row r="20" customFormat="false" ht="15.65" hidden="false" customHeight="false" outlineLevel="0" collapsed="false">
      <c r="B20" s="10" t="s">
        <v>54</v>
      </c>
      <c r="C20" s="11" t="s">
        <v>55</v>
      </c>
      <c r="D20" s="10" t="s">
        <v>56</v>
      </c>
      <c r="E20" s="6" t="n">
        <v>1</v>
      </c>
      <c r="F20" s="12" t="n">
        <v>1.43</v>
      </c>
      <c r="G20" s="8" t="n">
        <f aca="false">E20*F20</f>
        <v>1.43</v>
      </c>
    </row>
    <row r="21" customFormat="false" ht="15.65" hidden="false" customHeight="false" outlineLevel="0" collapsed="false">
      <c r="B21" s="10" t="s">
        <v>57</v>
      </c>
      <c r="C21" s="11" t="s">
        <v>58</v>
      </c>
      <c r="D21" s="10" t="s">
        <v>59</v>
      </c>
      <c r="E21" s="6" t="n">
        <v>1</v>
      </c>
      <c r="F21" s="12" t="n">
        <v>2.46</v>
      </c>
      <c r="G21" s="8" t="n">
        <f aca="false">E21*F21</f>
        <v>2.46</v>
      </c>
    </row>
    <row r="22" customFormat="false" ht="15.65" hidden="false" customHeight="false" outlineLevel="0" collapsed="false">
      <c r="B22" s="10" t="s">
        <v>60</v>
      </c>
      <c r="C22" s="11" t="s">
        <v>61</v>
      </c>
      <c r="D22" s="10" t="s">
        <v>62</v>
      </c>
      <c r="E22" s="6" t="n">
        <v>1</v>
      </c>
      <c r="F22" s="12" t="n">
        <v>0.31</v>
      </c>
      <c r="G22" s="8" t="n">
        <f aca="false">E22*F22</f>
        <v>0.31</v>
      </c>
    </row>
    <row r="23" customFormat="false" ht="15" hidden="false" customHeight="false" outlineLevel="0" collapsed="false">
      <c r="B23" s="10" t="s">
        <v>63</v>
      </c>
      <c r="C23" s="21" t="s">
        <v>64</v>
      </c>
      <c r="D23" s="10" t="s">
        <v>65</v>
      </c>
      <c r="E23" s="6" t="n">
        <v>1</v>
      </c>
      <c r="F23" s="22" t="n">
        <v>1.15</v>
      </c>
      <c r="G23" s="8" t="n">
        <f aca="false">E23*F23</f>
        <v>1.15</v>
      </c>
    </row>
    <row r="24" customFormat="false" ht="15" hidden="false" customHeight="false" outlineLevel="0" collapsed="false">
      <c r="B24" s="23" t="s">
        <v>66</v>
      </c>
      <c r="C24" s="24" t="s">
        <v>67</v>
      </c>
      <c r="D24" s="23" t="s">
        <v>68</v>
      </c>
      <c r="E24" s="25" t="n">
        <v>1</v>
      </c>
      <c r="F24" s="22" t="n">
        <v>0.29</v>
      </c>
      <c r="G24" s="8" t="n">
        <f aca="false">E24*F24</f>
        <v>0.29</v>
      </c>
    </row>
    <row r="25" customFormat="false" ht="15" hidden="false" customHeight="false" outlineLevel="0" collapsed="false">
      <c r="B25" s="23" t="s">
        <v>69</v>
      </c>
      <c r="C25" s="24" t="s">
        <v>70</v>
      </c>
      <c r="D25" s="23" t="s">
        <v>71</v>
      </c>
      <c r="E25" s="25" t="n">
        <v>2</v>
      </c>
      <c r="F25" s="22" t="n">
        <v>0.18</v>
      </c>
      <c r="G25" s="8" t="n">
        <f aca="false">E25*F25</f>
        <v>0.36</v>
      </c>
    </row>
    <row r="26" customFormat="false" ht="15.65" hidden="false" customHeight="false" outlineLevel="0" collapsed="false">
      <c r="B26" s="0"/>
      <c r="C26" s="0"/>
      <c r="D26" s="0"/>
      <c r="E26" s="0"/>
      <c r="F26" s="26"/>
      <c r="G26" s="8" t="n">
        <f aca="false">E26*F26</f>
        <v>0</v>
      </c>
    </row>
    <row r="27" customFormat="false" ht="15.65" hidden="false" customHeight="false" outlineLevel="0" collapsed="false">
      <c r="B27" s="10" t="s">
        <v>72</v>
      </c>
      <c r="C27" s="11" t="s">
        <v>73</v>
      </c>
      <c r="D27" s="10" t="s">
        <v>74</v>
      </c>
      <c r="E27" s="6"/>
      <c r="F27" s="12" t="n">
        <v>0.18</v>
      </c>
      <c r="G27" s="8" t="n">
        <f aca="false">E27*F27</f>
        <v>0</v>
      </c>
    </row>
    <row r="28" customFormat="false" ht="15.65" hidden="false" customHeight="false" outlineLevel="0" collapsed="false">
      <c r="B28" s="10" t="s">
        <v>75</v>
      </c>
      <c r="C28" s="11" t="s">
        <v>76</v>
      </c>
      <c r="D28" s="10" t="s">
        <v>77</v>
      </c>
      <c r="E28" s="6"/>
      <c r="F28" s="12" t="n">
        <v>0.18</v>
      </c>
      <c r="G28" s="8" t="n">
        <f aca="false">E28*F28</f>
        <v>0</v>
      </c>
    </row>
    <row r="29" customFormat="false" ht="15.65" hidden="false" customHeight="false" outlineLevel="0" collapsed="false">
      <c r="B29" s="10" t="s">
        <v>78</v>
      </c>
      <c r="C29" s="11" t="s">
        <v>79</v>
      </c>
      <c r="D29" s="10" t="s">
        <v>80</v>
      </c>
      <c r="E29" s="6"/>
      <c r="F29" s="12" t="n">
        <v>0.18</v>
      </c>
      <c r="G29" s="8" t="n">
        <f aca="false">E29*F29</f>
        <v>0</v>
      </c>
    </row>
    <row r="30" customFormat="false" ht="15.65" hidden="false" customHeight="false" outlineLevel="0" collapsed="false">
      <c r="B30" s="10" t="s">
        <v>81</v>
      </c>
      <c r="C30" s="11" t="s">
        <v>82</v>
      </c>
      <c r="D30" s="10" t="s">
        <v>83</v>
      </c>
      <c r="E30" s="6"/>
      <c r="F30" s="12" t="n">
        <v>0.18</v>
      </c>
      <c r="G30" s="8" t="n">
        <f aca="false">E30*F30</f>
        <v>0</v>
      </c>
    </row>
    <row r="31" customFormat="false" ht="15.65" hidden="false" customHeight="false" outlineLevel="0" collapsed="false">
      <c r="B31" s="10" t="s">
        <v>84</v>
      </c>
      <c r="C31" s="11" t="s">
        <v>85</v>
      </c>
      <c r="D31" s="10" t="s">
        <v>86</v>
      </c>
      <c r="E31" s="6"/>
      <c r="F31" s="12" t="n">
        <v>0.18</v>
      </c>
      <c r="G31" s="8" t="n">
        <f aca="false">E31*F31</f>
        <v>0</v>
      </c>
    </row>
    <row r="32" customFormat="false" ht="15.65" hidden="false" customHeight="false" outlineLevel="0" collapsed="false">
      <c r="B32" s="10" t="s">
        <v>87</v>
      </c>
      <c r="C32" s="11" t="s">
        <v>88</v>
      </c>
      <c r="D32" s="10" t="s">
        <v>89</v>
      </c>
      <c r="E32" s="6"/>
      <c r="F32" s="12" t="n">
        <v>0.6</v>
      </c>
      <c r="G32" s="8" t="n">
        <f aca="false">E32*F32</f>
        <v>0</v>
      </c>
    </row>
    <row r="33" customFormat="false" ht="15" hidden="false" customHeight="false" outlineLevel="0" collapsed="false">
      <c r="B33" s="10" t="s">
        <v>90</v>
      </c>
      <c r="C33" s="11" t="s">
        <v>91</v>
      </c>
      <c r="D33" s="10" t="s">
        <v>92</v>
      </c>
      <c r="E33" s="6"/>
      <c r="F33" s="12" t="n">
        <v>2.36</v>
      </c>
      <c r="G33" s="8" t="n">
        <f aca="false">E33*F33</f>
        <v>0</v>
      </c>
    </row>
    <row r="34" customFormat="false" ht="15" hidden="false" customHeight="false" outlineLevel="0" collapsed="false">
      <c r="B34" s="10"/>
      <c r="C34" s="10"/>
      <c r="D34" s="10"/>
      <c r="E34" s="6"/>
      <c r="F34" s="12"/>
      <c r="G34" s="8" t="n">
        <f aca="false">E34*F34</f>
        <v>0</v>
      </c>
    </row>
    <row r="35" customFormat="false" ht="15.65" hidden="false" customHeight="false" outlineLevel="0" collapsed="false">
      <c r="B35" s="27" t="s">
        <v>93</v>
      </c>
      <c r="C35" s="21" t="s">
        <v>94</v>
      </c>
      <c r="D35" s="10" t="s">
        <v>95</v>
      </c>
      <c r="E35" s="25" t="n">
        <v>1</v>
      </c>
      <c r="F35" s="22" t="n">
        <v>0.18</v>
      </c>
      <c r="G35" s="8" t="n">
        <f aca="false">E35*F35</f>
        <v>0.18</v>
      </c>
    </row>
    <row r="36" customFormat="false" ht="15.65" hidden="false" customHeight="false" outlineLevel="0" collapsed="false">
      <c r="B36" s="27"/>
      <c r="C36" s="10"/>
      <c r="D36" s="10"/>
      <c r="E36" s="6"/>
      <c r="F36" s="22"/>
      <c r="G36" s="8" t="n">
        <f aca="false">E36*F36</f>
        <v>0</v>
      </c>
    </row>
    <row r="37" customFormat="false" ht="15" hidden="false" customHeight="false" outlineLevel="0" collapsed="false">
      <c r="B37" s="10"/>
      <c r="C37" s="10"/>
      <c r="D37" s="10"/>
      <c r="E37" s="6"/>
      <c r="F37" s="22"/>
      <c r="G37" s="8" t="n">
        <f aca="false">E37*F37</f>
        <v>0</v>
      </c>
    </row>
    <row r="38" customFormat="false" ht="15" hidden="false" customHeight="false" outlineLevel="0" collapsed="false">
      <c r="B38" s="27"/>
      <c r="C38" s="10"/>
      <c r="D38" s="10"/>
      <c r="E38" s="6"/>
      <c r="F38" s="22"/>
      <c r="G38" s="8" t="n">
        <f aca="false">E38*F38</f>
        <v>0</v>
      </c>
    </row>
    <row r="39" customFormat="false" ht="15" hidden="false" customHeight="false" outlineLevel="0" collapsed="false">
      <c r="B39" s="10"/>
      <c r="C39" s="10"/>
      <c r="D39" s="10"/>
      <c r="E39" s="6"/>
      <c r="F39" s="12"/>
      <c r="G39" s="8" t="n">
        <f aca="false">E39*F39</f>
        <v>0</v>
      </c>
    </row>
    <row r="40" customFormat="false" ht="15" hidden="false" customHeight="false" outlineLevel="0" collapsed="false">
      <c r="B40" s="27" t="s">
        <v>96</v>
      </c>
      <c r="C40" s="21" t="s">
        <v>97</v>
      </c>
      <c r="D40" s="10" t="s">
        <v>98</v>
      </c>
      <c r="E40" s="6" t="n">
        <v>1</v>
      </c>
      <c r="F40" s="12" t="n">
        <v>0.18</v>
      </c>
      <c r="G40" s="8" t="n">
        <f aca="false">E40*F40</f>
        <v>0.18</v>
      </c>
    </row>
    <row r="41" customFormat="false" ht="15" hidden="false" customHeight="false" outlineLevel="0" collapsed="false">
      <c r="B41" s="10" t="s">
        <v>99</v>
      </c>
      <c r="C41" s="21" t="s">
        <v>100</v>
      </c>
      <c r="D41" s="10" t="s">
        <v>101</v>
      </c>
      <c r="E41" s="6" t="n">
        <v>4</v>
      </c>
      <c r="F41" s="12" t="n">
        <v>0.18</v>
      </c>
      <c r="G41" s="8" t="n">
        <f aca="false">E41*F41</f>
        <v>0.72</v>
      </c>
    </row>
    <row r="42" customFormat="false" ht="15" hidden="false" customHeight="false" outlineLevel="0" collapsed="false">
      <c r="B42" s="10" t="s">
        <v>102</v>
      </c>
      <c r="C42" s="21" t="s">
        <v>103</v>
      </c>
      <c r="D42" s="10" t="s">
        <v>104</v>
      </c>
      <c r="E42" s="6" t="n">
        <v>2</v>
      </c>
      <c r="F42" s="28" t="n">
        <v>0.18</v>
      </c>
      <c r="G42" s="8" t="n">
        <f aca="false">E42*F42</f>
        <v>0.36</v>
      </c>
    </row>
    <row r="43" customFormat="false" ht="15" hidden="false" customHeight="false" outlineLevel="0" collapsed="false">
      <c r="B43" s="10" t="s">
        <v>105</v>
      </c>
      <c r="C43" s="21" t="s">
        <v>106</v>
      </c>
      <c r="D43" s="10" t="s">
        <v>107</v>
      </c>
      <c r="E43" s="6" t="n">
        <v>1</v>
      </c>
      <c r="F43" s="28" t="n">
        <v>0.84</v>
      </c>
      <c r="G43" s="8" t="n">
        <f aca="false">E43*F43</f>
        <v>0.84</v>
      </c>
    </row>
    <row r="44" customFormat="false" ht="15" hidden="false" customHeight="false" outlineLevel="0" collapsed="false">
      <c r="B44" s="10" t="s">
        <v>108</v>
      </c>
      <c r="C44" s="21" t="s">
        <v>109</v>
      </c>
      <c r="D44" s="10" t="s">
        <v>110</v>
      </c>
      <c r="E44" s="6" t="n">
        <v>1</v>
      </c>
      <c r="F44" s="28" t="n">
        <v>0.31</v>
      </c>
      <c r="G44" s="8" t="n">
        <f aca="false">E44*F44</f>
        <v>0.31</v>
      </c>
    </row>
    <row r="45" customFormat="false" ht="15" hidden="false" customHeight="false" outlineLevel="0" collapsed="false">
      <c r="B45" s="10"/>
      <c r="C45" s="10"/>
      <c r="D45" s="10"/>
      <c r="E45" s="6"/>
      <c r="F45" s="28"/>
      <c r="G45" s="8" t="n">
        <f aca="false">E45*F45</f>
        <v>0</v>
      </c>
    </row>
    <row r="46" customFormat="false" ht="15" hidden="false" customHeight="false" outlineLevel="0" collapsed="false">
      <c r="B46" s="10"/>
      <c r="C46" s="29" t="s">
        <v>111</v>
      </c>
      <c r="D46" s="10"/>
      <c r="E46" s="6"/>
      <c r="F46" s="28"/>
      <c r="G46" s="8" t="n">
        <f aca="false">E46*F46</f>
        <v>0</v>
      </c>
    </row>
    <row r="47" customFormat="false" ht="15" hidden="false" customHeight="false" outlineLevel="0" collapsed="false">
      <c r="B47" s="10"/>
      <c r="C47" s="10"/>
      <c r="D47" s="10"/>
      <c r="E47" s="6"/>
      <c r="G47" s="8" t="n">
        <f aca="false">E47*F47</f>
        <v>0</v>
      </c>
    </row>
    <row r="48" customFormat="false" ht="15" hidden="false" customHeight="false" outlineLevel="0" collapsed="false">
      <c r="E48" s="0"/>
      <c r="F48" s="6" t="s">
        <v>112</v>
      </c>
      <c r="G48" s="30" t="n">
        <f aca="false">SUM(G3:G46)</f>
        <v>46.96</v>
      </c>
    </row>
    <row r="49" customFormat="false" ht="15" hidden="false" customHeight="false" outlineLevel="0" collapsed="false">
      <c r="G49" s="10"/>
    </row>
    <row r="50" customFormat="false" ht="15" hidden="false" customHeight="false" outlineLevel="0" collapsed="false">
      <c r="B50" s="10"/>
      <c r="C50" s="10"/>
      <c r="D50" s="10"/>
      <c r="E50" s="10"/>
      <c r="F50" s="10"/>
      <c r="G50" s="10"/>
    </row>
    <row r="51" customFormat="false" ht="15" hidden="false" customHeight="false" outlineLevel="0" collapsed="false">
      <c r="B51" s="10"/>
      <c r="C51" s="10"/>
      <c r="D51" s="10"/>
      <c r="E51" s="10"/>
      <c r="F51" s="10"/>
      <c r="G51" s="10"/>
    </row>
    <row r="52" customFormat="false" ht="15" hidden="false" customHeight="false" outlineLevel="0" collapsed="false">
      <c r="B52" s="10"/>
      <c r="C52" s="10"/>
      <c r="D52" s="10"/>
      <c r="E52" s="10"/>
      <c r="F52" s="10"/>
      <c r="G52" s="10"/>
    </row>
    <row r="53" customFormat="false" ht="15" hidden="false" customHeight="false" outlineLevel="0" collapsed="false">
      <c r="B53" s="10"/>
      <c r="C53" s="10"/>
      <c r="D53" s="10"/>
      <c r="E53" s="10"/>
      <c r="F53" s="10"/>
      <c r="G53" s="10"/>
    </row>
    <row r="54" customFormat="false" ht="15" hidden="false" customHeight="false" outlineLevel="0" collapsed="false">
      <c r="B54" s="10"/>
      <c r="C54" s="10"/>
      <c r="D54" s="10"/>
      <c r="E54" s="10"/>
      <c r="F54" s="10"/>
      <c r="G54" s="10"/>
    </row>
    <row r="55" customFormat="false" ht="15" hidden="false" customHeight="false" outlineLevel="0" collapsed="false">
      <c r="B55" s="10"/>
      <c r="C55" s="10"/>
      <c r="D55" s="10"/>
      <c r="E55" s="10"/>
      <c r="F55" s="10"/>
      <c r="G55" s="10"/>
    </row>
    <row r="56" customFormat="false" ht="15" hidden="false" customHeight="false" outlineLevel="0" collapsed="false">
      <c r="B56" s="10"/>
      <c r="C56" s="10"/>
      <c r="D56" s="10"/>
      <c r="E56" s="10"/>
      <c r="F56" s="10"/>
      <c r="G56" s="10"/>
    </row>
    <row r="57" customFormat="false" ht="15" hidden="false" customHeight="false" outlineLevel="0" collapsed="false">
      <c r="B57" s="10"/>
      <c r="C57" s="10"/>
      <c r="D57" s="10"/>
      <c r="E57" s="10"/>
      <c r="F57" s="10"/>
      <c r="G57" s="10"/>
    </row>
    <row r="58" customFormat="false" ht="15" hidden="false" customHeight="false" outlineLevel="0" collapsed="false">
      <c r="B58" s="10"/>
      <c r="C58" s="10"/>
      <c r="D58" s="10"/>
      <c r="E58" s="10"/>
      <c r="F58" s="10"/>
      <c r="G58" s="10"/>
    </row>
    <row r="59" customFormat="false" ht="15" hidden="false" customHeight="false" outlineLevel="0" collapsed="false">
      <c r="B59" s="10"/>
      <c r="C59" s="10"/>
      <c r="D59" s="10"/>
      <c r="E59" s="10"/>
      <c r="F59" s="10"/>
      <c r="G59" s="10"/>
    </row>
    <row r="60" customFormat="false" ht="15" hidden="false" customHeight="false" outlineLevel="0" collapsed="false">
      <c r="B60" s="10"/>
      <c r="C60" s="10"/>
      <c r="D60" s="10"/>
      <c r="E60" s="10"/>
      <c r="F60" s="10"/>
      <c r="G60" s="10"/>
    </row>
    <row r="61" customFormat="false" ht="15" hidden="false" customHeight="false" outlineLevel="0" collapsed="false">
      <c r="B61" s="10"/>
      <c r="C61" s="10"/>
      <c r="D61" s="10"/>
      <c r="E61" s="10"/>
      <c r="F61" s="10"/>
      <c r="G61" s="10"/>
    </row>
    <row r="62" customFormat="false" ht="15" hidden="false" customHeight="false" outlineLevel="0" collapsed="false">
      <c r="B62" s="10"/>
      <c r="C62" s="10"/>
      <c r="D62" s="10"/>
      <c r="E62" s="10"/>
      <c r="F62" s="10"/>
      <c r="G62" s="10"/>
    </row>
    <row r="63" customFormat="false" ht="15" hidden="false" customHeight="false" outlineLevel="0" collapsed="false">
      <c r="B63" s="10"/>
      <c r="C63" s="10"/>
      <c r="D63" s="10"/>
      <c r="E63" s="10"/>
      <c r="F63" s="10"/>
      <c r="G63" s="10"/>
    </row>
    <row r="64" customFormat="false" ht="15" hidden="false" customHeight="false" outlineLevel="0" collapsed="false">
      <c r="B64" s="10"/>
      <c r="C64" s="10"/>
      <c r="D64" s="10"/>
      <c r="E64" s="10"/>
      <c r="F64" s="10"/>
      <c r="G64" s="10"/>
    </row>
    <row r="65" customFormat="false" ht="15" hidden="false" customHeight="false" outlineLevel="0" collapsed="false">
      <c r="B65" s="10"/>
      <c r="C65" s="10"/>
      <c r="D65" s="10"/>
      <c r="E65" s="10"/>
      <c r="F65" s="10"/>
      <c r="G65" s="10"/>
    </row>
    <row r="66" customFormat="false" ht="15" hidden="false" customHeight="false" outlineLevel="0" collapsed="false">
      <c r="B66" s="10"/>
      <c r="C66" s="10"/>
      <c r="D66" s="10"/>
      <c r="E66" s="10"/>
      <c r="F66" s="10"/>
      <c r="G66" s="10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3" r:id="rId10" display="https://www.digikey.co.nz/en/products/detail/w%C3%BCrth-elektronik/860010672004/5726903"/>
    <hyperlink ref="C14" r:id="rId11" display="https://www.digikey.co.nz/en/products/detail/samsung-electro-mechanics/CL21B104KBCNNNC/3886661 "/>
    <hyperlink ref="C15" r:id="rId12" display="https://www.digikey.co.nz/en/products/detail/tdk/C2012X5R1V106K125AC/3951654 "/>
    <hyperlink ref="C17" r:id="rId13" display="https://www.digikey.co.nz/en/products/detail/murata-electronics/GCM1885C2A470JA16J/2591757 "/>
    <hyperlink ref="C18" r:id="rId14" display="https://www.digikey.co.nz/en/products/detail/kyocera-avx/KGM15ACG2A120JM/1598332 "/>
    <hyperlink ref="C19" r:id="rId15" display="https://www.digikey.co.nz/en/products/detail/taiyo-yuden/JMK212BBJ476MG-T/4970731 "/>
    <hyperlink ref="C20" r:id="rId16" display="https://www.digikey.co.nz/en/products/detail/tdk/SLF7045T-6R8M1R7-PF/755381 "/>
    <hyperlink ref="C21" r:id="rId17" display="https://www.digikey.co.nz/en/products/detail/onsemi/FQD8P10TM/1054070 "/>
    <hyperlink ref="C22" r:id="rId18" display="https://www.digikey.co.nz/en/products/detail/onsemi/MM3Z24VT1G/661665 "/>
    <hyperlink ref="C23" r:id="rId19" display="https://www.digikey.co.nz/en/products/detail/diodes-incorporated/DMP3056L-7/5126843"/>
    <hyperlink ref="C24" r:id="rId20" display="https://www.digikey.co.nz/en/products/detail/nexperia-usa-inc/NX138BKR/5981270"/>
    <hyperlink ref="C25" r:id="rId21" display="https://www.digikey.co.nz/en/products/detail/shenzhen-slkormicro-semicon-co-ltd/SLMT320V3CN/29782446"/>
    <hyperlink ref="C27" r:id="rId22" display="https://www.digikey.co.nz/en/products/detail/bourns-inc/CR0805-FX-3012ELF/3784840 "/>
    <hyperlink ref="C28" r:id="rId23" display="https://www.digikey.co.nz/en/products/detail/bourns-inc/CR0805-FX-1583ELF/3784668 "/>
    <hyperlink ref="C29" r:id="rId24" display="https://www.digikey.co.nz/en/products/detail/vishay-dale/CRCW0805422KFKEA/1175961 "/>
    <hyperlink ref="C30" r:id="rId25" display="https://www.digikey.co.nz/en/products/detail/stackpole-electronics-inc/RMCF0805FT10K0/1760676 "/>
    <hyperlink ref="C31" r:id="rId26" display="https://www.digikey.co.nz/en/products/detail/stackpole-electronics-inc/RNCP0805FTD1K00/2240229 "/>
    <hyperlink ref="C32" r:id="rId27" display="https://www.digikey.co.nz/en/products/detail/te-connectivity-passive-product/RLC73PD2BR169FTD/19238107 "/>
    <hyperlink ref="C33" r:id="rId28" display="https://www.digikey.co.nz/en/products/detail/bourns-inc/PDB181-B225K-103B/6153329 "/>
    <hyperlink ref="C35" r:id="rId29" display="https://www.digikey.co.nz/en/products/detail/vishay-dale/CRCW080582K0FKEA/1175855"/>
    <hyperlink ref="C40" r:id="rId30" display="https://www.digikey.co.nz/en/products/detail/vishay-dale/CRCW0805100KFKEA/1175865"/>
    <hyperlink ref="C41" r:id="rId31" display="https://www.digikey.co.nz/en/products/detail/yageo/RC0805JR-07180RL/728263"/>
    <hyperlink ref="C42" r:id="rId32" display="https://www.digikey.co.nz/en/products/detail/te-connectivity-passive-product/CRG0805F2K7/2380883"/>
    <hyperlink ref="C43" r:id="rId33" display="https://www.digikey.co.nz/en/products/detail/sunled/XZCM2MOK54WA-1VF/15761908"/>
    <hyperlink ref="C44" r:id="rId34" display="https://www.digikey.co.nz/en/products/detail/ams-osram-ag/LW-Q98G-01-R2T1-3K6L-1-5-R18/21556497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2026-08-17T00:17:39Z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