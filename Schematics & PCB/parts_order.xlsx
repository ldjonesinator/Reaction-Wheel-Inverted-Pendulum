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<sst xmlns="http://schemas.openxmlformats.org/spreadsheetml/2006/main" count="114" uniqueCount="111">
  <si>
    <t xml:space="preserve">Component</t>
  </si>
  <si>
    <t xml:space="preserve">Link</t>
  </si>
  <si>
    <t xml:space="preserve">Part number</t>
  </si>
  <si>
    <t xml:space="preserve">Amount</t>
  </si>
  <si>
    <t xml:space="preserve">Price (NZD)</t>
  </si>
  <si>
    <t xml:space="preserve">Total Price</t>
  </si>
  <si>
    <t xml:space="preserve">Buck Switching Regulator IC Positive Adjustable</t>
  </si>
  <si>
    <t xml:space="preserve">https://www.digikey.co.nz/en/products/detail/diodes-incorporated/AP63301WU-7/10491607?s=N4IgTCBcDaIIIAUBsBmFAGAjAdQKoFoB2EAXQF8g</t>
  </si>
  <si>
    <t xml:space="preserve">31-AP63301WU-7CT-ND</t>
  </si>
  <si>
    <t xml:space="preserve">H-Bridge DRV8231DDAR</t>
  </si>
  <si>
    <t xml:space="preserve">https://www.digikey.co.nz/en/products/detail/texas-instruments/DRV8231DDAR/16184249 </t>
  </si>
  <si>
    <t xml:space="preserve">296-DRV8231DDARCT-ND</t>
  </si>
  <si>
    <t xml:space="preserve">Red Banana socket </t>
  </si>
  <si>
    <t xml:space="preserve">https://www.digikey.co.nz/en/products/detail/cliff-electronic-components-ltd/FCR7350R/17729035  </t>
  </si>
  <si>
    <t xml:space="preserve">4654-FCR7350R-ND </t>
  </si>
  <si>
    <t xml:space="preserve">try to find better cost</t>
  </si>
  <si>
    <t xml:space="preserve">Black Banana socket </t>
  </si>
  <si>
    <t xml:space="preserve">https://www.digikey.co.nz/en/products/detail/cliff-electronic-components-ltd/FCR7350B/17729030  </t>
  </si>
  <si>
    <t xml:space="preserve">4654-FCR7350B-ND </t>
  </si>
  <si>
    <t xml:space="preserve">Cyan 2P Screw Terminal TB002-500-02BE</t>
  </si>
  <si>
    <t xml:space="preserve">https://www.digikey.co.nz/en/products/detail/same-sky-formerly-cui-devices/TB002-500-02BE/10064069 </t>
  </si>
  <si>
    <t xml:space="preserve">102-6145-ND</t>
  </si>
  <si>
    <t xml:space="preserve">Green 2P Screw Terminal 691137710002</t>
  </si>
  <si>
    <t xml:space="preserve">https://www.digikey.co.nz/en/products/detail/w%C3%BCrth-elektronik/691137710002/6644051 </t>
  </si>
  <si>
    <t xml:space="preserve">732-10955-ND</t>
  </si>
  <si>
    <t xml:space="preserve">Green 4P Screw Terminal 691137710004</t>
  </si>
  <si>
    <t xml:space="preserve">https://www.digikey.co.nz/en/products/detail/w%C3%BCrth-elektronik/691137710004/6644053 </t>
  </si>
  <si>
    <t xml:space="preserve">732-10957-ND</t>
  </si>
  <si>
    <t xml:space="preserve">Green 10mm LED WP813GD</t>
  </si>
  <si>
    <t xml:space="preserve">https://www.digikey.co.nz/en/products/detail/kingbright/WP813GD/3084264 </t>
  </si>
  <si>
    <t xml:space="preserve">754-1898-ND</t>
  </si>
  <si>
    <t xml:space="preserve">Right angle THT Switch 1-1825027-1</t>
  </si>
  <si>
    <t xml:space="preserve">https://www.digikey.co.nz/en/products/detail/te-connectivity-alcoswitch-switches/1-1825027-1/1632544 </t>
  </si>
  <si>
    <t xml:space="preserve">450-1658-ND</t>
  </si>
  <si>
    <t xml:space="preserve">Orange LED 2mA XZCM2MOK54WA-1VF</t>
  </si>
  <si>
    <t xml:space="preserve">https://www.digikey.co.nz/en/products/detail/sunled/XZCM2MOK54WA-1VF/15761908 </t>
  </si>
  <si>
    <t xml:space="preserve">1497-XZCM2MOK54WA-1VFCT-ND</t>
  </si>
  <si>
    <t xml:space="preserve">White LED 5mA LW Q98G.01-R2T1-3K6L-1-5-R18</t>
  </si>
  <si>
    <t xml:space="preserve">https://www.digikey.co.nz/en/products/detail/ams-osram-ag/LW-Q98G-01-R2T1-3K6L-1-5-R18/21556497 </t>
  </si>
  <si>
    <t xml:space="preserve">475-LWQ98G.01-R2T1-3K6L-1CT-ND</t>
  </si>
  <si>
    <t xml:space="preserve">20p Female Connector 61302011821</t>
  </si>
  <si>
    <r>
      <rPr>
        <sz val="12"/>
        <color rgb="FF0000FF"/>
        <rFont val="Calibri"/>
        <family val="2"/>
        <charset val="1"/>
      </rPr>
      <t xml:space="preserve">https://www.digikey.co.nz/en/products/detail/w%C3%BCrth-elektronik/61302011821/16608603</t>
    </r>
    <r>
      <rPr>
        <sz val="12"/>
        <rFont val="Calibri"/>
        <family val="2"/>
        <charset val="1"/>
      </rPr>
      <t xml:space="preserve"> </t>
    </r>
  </si>
  <si>
    <t xml:space="preserve">732-61302011821-ND</t>
  </si>
  <si>
    <t xml:space="preserve">PMOS 100V 6.6A FQD8P10TM</t>
  </si>
  <si>
    <t xml:space="preserve">https://www.digikey.co.nz/en/products/detail/onsemi/FQD8P10TM/1054070 </t>
  </si>
  <si>
    <t xml:space="preserve">FQD8P10TMCT-ND</t>
  </si>
  <si>
    <t xml:space="preserve">DOUBLE CHECK THE AMOUNTS AND STUFF</t>
  </si>
  <si>
    <t xml:space="preserve">PMOS 30V 4.3A DMP3056L-7</t>
  </si>
  <si>
    <t xml:space="preserve">https://www.digikey.co.nz/en/products/detail/diodes-incorporated/DMP3056L-7/5126843 </t>
  </si>
  <si>
    <t xml:space="preserve">DMP3056L-7DICT-ND</t>
  </si>
  <si>
    <t xml:space="preserve">NMOS 60 V 265mA NX138BKR</t>
  </si>
  <si>
    <t xml:space="preserve">https://www.digikey.co.nz/en/products/detail/nexperia-usa-inc/NX138BKR/5981270 </t>
  </si>
  <si>
    <t xml:space="preserve">1727-2662-1-ND</t>
  </si>
  <si>
    <t xml:space="preserve">NMOS 20 V 3A SLMT320V3CN</t>
  </si>
  <si>
    <t xml:space="preserve">https://www.digikey.co.nz/en/products/detail/shenzhen-slkormicro-semicon-co-ltd/SLMT320V3CN/29782446 </t>
  </si>
  <si>
    <t xml:space="preserve">5399-SLMT320V3CNCT-ND</t>
  </si>
  <si>
    <t xml:space="preserve">DIODE ZENER 24V 300mW MM3Z24VT1G</t>
  </si>
  <si>
    <t xml:space="preserve">https://www.digikey.co.nz/en/products/detail/onsemi/MM3Z24VT1G/661665 </t>
  </si>
  <si>
    <t xml:space="preserve">MM3Z24VT1GOSCT-ND</t>
  </si>
  <si>
    <t xml:space="preserve">47uF Al Electrolytic Capacitor 860010372004</t>
  </si>
  <si>
    <t xml:space="preserve">https://www.digikey.co.nz/en/products/detail/w%C3%BCrth-elektronik/860010672004/5726903</t>
  </si>
  <si>
    <t xml:space="preserve">732-8596-1-ND</t>
  </si>
  <si>
    <t xml:space="preserve">100nF Ceramic Capacitor CL21B104KBCNNNC</t>
  </si>
  <si>
    <t xml:space="preserve">https://www.digikey.co.nz/en/products/detail/samsung-electro-mechanics/CL21B104KBCNNNC/3886661 </t>
  </si>
  <si>
    <t xml:space="preserve">1276-1003-1-ND</t>
  </si>
  <si>
    <t xml:space="preserve">low esr</t>
  </si>
  <si>
    <t xml:space="preserve">10uF Ceramic Capacitor C2012X5R1V106K125AC</t>
  </si>
  <si>
    <t xml:space="preserve">https://www.digikey.co.nz/en/products/detail/tdk/C2012X5R1V106K125AC/3951654 </t>
  </si>
  <si>
    <t xml:space="preserve">445-14418-1-ND</t>
  </si>
  <si>
    <t xml:space="preserve">47pF Ceramic Capacitor GCM1885C2A470JA16J</t>
  </si>
  <si>
    <t xml:space="preserve">https://www.digikey.co.nz/en/products/detail/murata-electronics/GCM1885C2A470JA16J/2591757 </t>
  </si>
  <si>
    <t xml:space="preserve">490-GCM1885C2A470JA16JCT-ND</t>
  </si>
  <si>
    <t xml:space="preserve">47uF Ceramic Capacitor JMK212BBJ476MG-T</t>
  </si>
  <si>
    <t xml:space="preserve">https://www.digikey.co.nz/en/products/detail/taiyo-yuden/JMK212BBJ476MG-T/4970731 </t>
  </si>
  <si>
    <t xml:space="preserve">587-4280-1-ND</t>
  </si>
  <si>
    <t xml:space="preserve">if you can*</t>
  </si>
  <si>
    <t xml:space="preserve">6.8uH Shielded Inductor SLF7045T-6R8M1R7-PF</t>
  </si>
  <si>
    <t xml:space="preserve">https://www.digikey.co.nz/en/products/detail/tdk/SLF7045T-6R8M1R7-PF/755381 </t>
  </si>
  <si>
    <t xml:space="preserve">445-2029-1-ND</t>
  </si>
  <si>
    <t xml:space="preserve">30.1kΩ Thick Film resistor CR0805-FX-3012ELF</t>
  </si>
  <si>
    <t xml:space="preserve">https://www.digikey.co.nz/en/products/detail/bourns-inc/CR0805-FX-3012ELF/3784840 </t>
  </si>
  <si>
    <t xml:space="preserve">CR0805-FX-3012ELFCT-ND</t>
  </si>
  <si>
    <t xml:space="preserve">158kΩ Thick Film resistor CR0805-FX-1583ELF</t>
  </si>
  <si>
    <t xml:space="preserve">https://www.digikey.co.nz/en/products/detail/bourns-inc/CR0805-FX-1583ELF/3784668 </t>
  </si>
  <si>
    <t xml:space="preserve">118-CR0805-FX-1583ELFCT-ND</t>
  </si>
  <si>
    <t xml:space="preserve">10k Thick film Resistor RMCF0805FT10K0</t>
  </si>
  <si>
    <t xml:space="preserve">https://www.digikey.co.nz/en/products/detail/stackpole-electronics-inc/RMCF0805FT10K0/1760676 </t>
  </si>
  <si>
    <t xml:space="preserve">RMCF0805FT10K0CT-ND</t>
  </si>
  <si>
    <t xml:space="preserve">1k Thick film Resistor RNCP0805FTD1K00</t>
  </si>
  <si>
    <t xml:space="preserve">https://www.digikey.co.nz/en/products/detail/stackpole-electronics-inc/RNCP0805FTD1K00/2240229 </t>
  </si>
  <si>
    <t xml:space="preserve">RNCP0805FTD1K00CT-ND</t>
  </si>
  <si>
    <t xml:space="preserve">0.169Ω 1W Thick film resistor RLC73PD2BR169FTD</t>
  </si>
  <si>
    <t xml:space="preserve">https://www.digikey.co.nz/en/products/detail/te-connectivity-passive-product/RLC73PD2BR169FTD/19238107 </t>
  </si>
  <si>
    <t xml:space="preserve">1712-RLC73PD2BR169FTDCT-ND</t>
  </si>
  <si>
    <t xml:space="preserve">82k Thick Film resistor CRCW080582K0FKEA</t>
  </si>
  <si>
    <t xml:space="preserve">https://www.digikey.co.nz/en/products/detail/vishay-dale/CRCW080582K0FKEA/1175855 </t>
  </si>
  <si>
    <t xml:space="preserve">541-82.0KCCT-ND</t>
  </si>
  <si>
    <t xml:space="preserve">100k Thick Film resistor CRCW0805100KFKEA</t>
  </si>
  <si>
    <t xml:space="preserve">https://www.digikey.co.nz/en/products/detail/vishay-dale/CRCW0805100KFKEA/1175865 </t>
  </si>
  <si>
    <t xml:space="preserve">541-100KCCT-ND</t>
  </si>
  <si>
    <t xml:space="preserve">180 Thick Film resistor RC0805JR-07180RL</t>
  </si>
  <si>
    <t xml:space="preserve">https://www.digikey.co.nz/en/products/detail/yageo/RC0805JR-07180RL/728263 </t>
  </si>
  <si>
    <t xml:space="preserve">311-180ARCT-ND</t>
  </si>
  <si>
    <t xml:space="preserve">2.7k Thick Film Resistor CRG0805F2K7</t>
  </si>
  <si>
    <t xml:space="preserve">https://www.digikey.co.nz/en/products/detail/te-connectivity-passive-product/CRG0805F2K7/2380883 </t>
  </si>
  <si>
    <t xml:space="preserve">A126359CT-ND</t>
  </si>
  <si>
    <t xml:space="preserve">10K LINEAR Potentiometer PDB181-B225K-103B</t>
  </si>
  <si>
    <t xml:space="preserve">https://www.digikey.co.nz/en/products/detail/bourns-inc/PDB181-B225K-103B/6153329 </t>
  </si>
  <si>
    <t xml:space="preserve">PDB181-B225K-103B</t>
  </si>
  <si>
    <t xml:space="preserve">add female connectors for raspberry pi pico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</si>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</sst>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1409]#,##0.00;[RED]\-[$$-1409]#,##0.00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"/>
      <family val="2"/>
      <charset val="1"/>
    </font>
    <font>
      <sz val="12"/>
      <name val="Calibri"/>
      <family val="2"/>
      <charset val="1"/>
    </font>
    <font>
      <sz val="12"/>
      <color rgb="FF0000FF"/>
      <name val="Calibri"/>
      <family val="2"/>
      <charset val="1"/>
    </font>
    <font>
      <sz val="12"/>
      <color rgb="FF0000FF"/>
      <name val="Calibri"/>
      <family val="2"/>
      <charset val="1"/>
    </font>
    <font>
      <b val="true"/>
      <sz val="16"/>
      <name val="Arial"/>
      <family val="2"/>
      <charset val="1"/>
    </font>
    <font>
      <sz val="10"/>
      <name val="Arial"/>
      <family val="2"/>
    </font>
    <font>
      <b val="true"/>
      <u val="single"/>
      <sz val="12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AFD095"/>
        <bgColor rgb="FF99CCFF"/>
      </patternFill>
    </fill>
    <fill>
      <patternFill patternType="solid">
        <fgColor rgb="FFF6F9D4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5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6F9D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digikey.co.nz/en/products/detail/diodes-incorporated/AP63301WU-7/10491607?s=N4IgTCBcDaIIIAUBsBmFAGAjAdQKoFoB2EAXQF8g" TargetMode="External"/><Relationship Id="rId2" Type="http://schemas.openxmlformats.org/officeDocument/2006/relationships/hyperlink" Target="https://www.digikey.co.nz/en/products/detail/texas-instruments/DRV8231DDAR/16184249" TargetMode="External"/><Relationship Id="rId3" Type="http://schemas.openxmlformats.org/officeDocument/2006/relationships/hyperlink" Target="https://www.digikey.co.nz/en/products/detail/cliff-electronic-components-ltd/FCR7350R/17729035" TargetMode="External"/><Relationship Id="rId4" Type="http://schemas.openxmlformats.org/officeDocument/2006/relationships/hyperlink" Target="https://www.digikey.co.nz/en/products/detail/cliff-electronic-components-ltd/FCR7350B/17729030" TargetMode="External"/><Relationship Id="rId5" Type="http://schemas.openxmlformats.org/officeDocument/2006/relationships/hyperlink" Target="https://www.digikey.co.nz/en/products/detail/same-sky-formerly-cui-devices/TB002-500-02BE/10064069" TargetMode="External"/><Relationship Id="rId6" Type="http://schemas.openxmlformats.org/officeDocument/2006/relationships/hyperlink" Target="https://www.digikey.co.nz/en/products/detail/w&#252;rth-elektronik/691137710002/6644051" TargetMode="External"/><Relationship Id="rId7" Type="http://schemas.openxmlformats.org/officeDocument/2006/relationships/hyperlink" Target="https://www.digikey.co.nz/en/products/detail/w&#252;rth-elektronik/691137710004/6644053" TargetMode="External"/><Relationship Id="rId8" Type="http://schemas.openxmlformats.org/officeDocument/2006/relationships/hyperlink" Target="https://www.digikey.co.nz/en/products/detail/kingbright/WP813GD/3084264" TargetMode="External"/><Relationship Id="rId9" Type="http://schemas.openxmlformats.org/officeDocument/2006/relationships/hyperlink" Target="https://www.digikey.co.nz/en/products/detail/te-connectivity-alcoswitch-switches/1-1825027-1/1632544" TargetMode="External"/><Relationship Id="rId10" Type="http://schemas.openxmlformats.org/officeDocument/2006/relationships/hyperlink" Target="https://www.digikey.co.nz/en/products/detail/sunled/XZCM2MOK54WA-1VF/15761908" TargetMode="External"/><Relationship Id="rId11" Type="http://schemas.openxmlformats.org/officeDocument/2006/relationships/hyperlink" Target="https://www.digikey.co.nz/en/products/detail/ams-osram-ag/LW-Q98G-01-R2T1-3K6L-1-5-R18/21556497" TargetMode="External"/><Relationship Id="rId12" Type="http://schemas.openxmlformats.org/officeDocument/2006/relationships/hyperlink" Target="https://www.digikey.co.nz/en/products/detail/w&#252;rth-elektronik/61302011821/16608603" TargetMode="External"/><Relationship Id="rId13" Type="http://schemas.openxmlformats.org/officeDocument/2006/relationships/hyperlink" Target="https://www.digikey.co.nz/en/products/detail/onsemi/FQD8P10TM/1054070" TargetMode="External"/><Relationship Id="rId14" Type="http://schemas.openxmlformats.org/officeDocument/2006/relationships/hyperlink" Target="https://www.digikey.co.nz/en/products/detail/diodes-incorporated/DMP3056L-7/5126843" TargetMode="External"/><Relationship Id="rId15" Type="http://schemas.openxmlformats.org/officeDocument/2006/relationships/hyperlink" Target="https://www.digikey.co.nz/en/products/detail/nexperia-usa-inc/NX138BKR/5981270" TargetMode="External"/><Relationship Id="rId16" Type="http://schemas.openxmlformats.org/officeDocument/2006/relationships/hyperlink" Target="https://www.digikey.co.nz/en/products/detail/shenzhen-slkormicro-semicon-co-ltd/SLMT320V3CN/29782446" TargetMode="External"/><Relationship Id="rId17" Type="http://schemas.openxmlformats.org/officeDocument/2006/relationships/hyperlink" Target="https://www.digikey.co.nz/en/products/detail/onsemi/MM3Z24VT1G/661665" TargetMode="External"/><Relationship Id="rId18" Type="http://schemas.openxmlformats.org/officeDocument/2006/relationships/hyperlink" Target="https://www.digikey.co.nz/en/products/detail/w&#252;rth-elektronik/860010672004/5726903" TargetMode="External"/><Relationship Id="rId19" Type="http://schemas.openxmlformats.org/officeDocument/2006/relationships/hyperlink" Target="https://www.digikey.co.nz/en/products/detail/samsung-electro-mechanics/CL21B104KBCNNNC/3886661" TargetMode="External"/><Relationship Id="rId20" Type="http://schemas.openxmlformats.org/officeDocument/2006/relationships/hyperlink" Target="https://www.digikey.co.nz/en/products/detail/tdk/C2012X5R1V106K125AC/3951654" TargetMode="External"/><Relationship Id="rId21" Type="http://schemas.openxmlformats.org/officeDocument/2006/relationships/hyperlink" Target="https://www.digikey.co.nz/en/products/detail/murata-electronics/GCM1885C2A470JA16J/2591757" TargetMode="External"/><Relationship Id="rId22" Type="http://schemas.openxmlformats.org/officeDocument/2006/relationships/hyperlink" Target="https://www.digikey.co.nz/en/products/detail/taiyo-yuden/JMK212BBJ476MG-T/4970731" TargetMode="External"/><Relationship Id="rId23" Type="http://schemas.openxmlformats.org/officeDocument/2006/relationships/hyperlink" Target="https://www.digikey.co.nz/en/products/detail/tdk/SLF7045T-6R8M1R7-PF/755381" TargetMode="External"/><Relationship Id="rId24" Type="http://schemas.openxmlformats.org/officeDocument/2006/relationships/hyperlink" Target="https://www.digikey.co.nz/en/products/detail/bourns-inc/CR0805-FX-3012ELF/3784840" TargetMode="External"/><Relationship Id="rId25" Type="http://schemas.openxmlformats.org/officeDocument/2006/relationships/hyperlink" Target="https://www.digikey.co.nz/en/products/detail/bourns-inc/CR0805-FX-1583ELF/3784668" TargetMode="External"/><Relationship Id="rId26" Type="http://schemas.openxmlformats.org/officeDocument/2006/relationships/hyperlink" Target="https://www.digikey.co.nz/en/products/detail/stackpole-electronics-inc/RMCF0805FT10K0/1760676" TargetMode="External"/><Relationship Id="rId27" Type="http://schemas.openxmlformats.org/officeDocument/2006/relationships/hyperlink" Target="https://www.digikey.co.nz/en/products/detail/stackpole-electronics-inc/RNCP0805FTD1K00/2240229" TargetMode="External"/><Relationship Id="rId28" Type="http://schemas.openxmlformats.org/officeDocument/2006/relationships/hyperlink" Target="https://www.digikey.co.nz/en/products/detail/te-connectivity-passive-product/RLC73PD2BR169FTD/19238107" TargetMode="External"/><Relationship Id="rId29" Type="http://schemas.openxmlformats.org/officeDocument/2006/relationships/hyperlink" Target="https://www.digikey.co.nz/en/products/detail/vishay-dale/CRCW080582K0FKEA/1175855" TargetMode="External"/><Relationship Id="rId30" Type="http://schemas.openxmlformats.org/officeDocument/2006/relationships/hyperlink" Target="https://www.digikey.co.nz/en/products/detail/vishay-dale/CRCW0805100KFKEA/1175865" TargetMode="External"/><Relationship Id="rId31" Type="http://schemas.openxmlformats.org/officeDocument/2006/relationships/hyperlink" Target="https://www.digikey.co.nz/en/products/detail/yageo/RC0805JR-07180RL/728263" TargetMode="External"/><Relationship Id="rId32" Type="http://schemas.openxmlformats.org/officeDocument/2006/relationships/hyperlink" Target="https://www.digikey.co.nz/en/products/detail/te-connectivity-passive-product/CRG0805F2K7/2380883" TargetMode="External"/><Relationship Id="rId33" Type="http://schemas.openxmlformats.org/officeDocument/2006/relationships/hyperlink" Target="https://www.digikey.co.nz/en/products/detail/bourns-inc/PDB181-B225K-103B/6153329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0" activeCellId="0" sqref="C40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48.67"/>
    <col collapsed="false" customWidth="true" hidden="false" outlineLevel="0" max="3" min="3" style="1" width="102.57"/>
    <col collapsed="false" customWidth="true" hidden="false" outlineLevel="0" max="4" min="4" style="1" width="34.4"/>
    <col collapsed="false" customWidth="true" hidden="false" outlineLevel="0" max="5" min="5" style="1" width="10.06"/>
    <col collapsed="false" customWidth="true" hidden="false" outlineLevel="0" max="9" min="9" style="1" width="10.43"/>
  </cols>
  <sheetData>
    <row r="2" customFormat="false" ht="15.65" hidden="false" customHeight="false" outlineLevel="0" collapsed="false">
      <c r="B2" s="2" t="s">
        <v>0</v>
      </c>
      <c r="C2" s="2" t="s">
        <v>1</v>
      </c>
      <c r="D2" s="3" t="s">
        <v>2</v>
      </c>
      <c r="E2" s="2" t="s">
        <v>3</v>
      </c>
      <c r="F2" s="2" t="s">
        <v>4</v>
      </c>
      <c r="G2" s="2" t="s">
        <v>5</v>
      </c>
    </row>
    <row r="3" customFormat="false" ht="15.65" hidden="false" customHeight="false" outlineLevel="0" collapsed="false">
      <c r="B3" s="4" t="s">
        <v>6</v>
      </c>
      <c r="C3" s="5" t="s">
        <v>7</v>
      </c>
      <c r="D3" s="4" t="s">
        <v>8</v>
      </c>
      <c r="E3" s="6" t="n">
        <v>1</v>
      </c>
      <c r="F3" s="7" t="n">
        <v>1.76</v>
      </c>
      <c r="G3" s="8" t="n">
        <f aca="false">E3*F3</f>
        <v>1.76</v>
      </c>
    </row>
    <row r="4" customFormat="false" ht="15.65" hidden="false" customHeight="false" outlineLevel="0" collapsed="false">
      <c r="B4" s="4" t="s">
        <v>9</v>
      </c>
      <c r="C4" s="5" t="s">
        <v>10</v>
      </c>
      <c r="D4" s="4" t="s">
        <v>11</v>
      </c>
      <c r="E4" s="6" t="n">
        <v>1</v>
      </c>
      <c r="F4" s="7" t="n">
        <v>2.86</v>
      </c>
      <c r="G4" s="8" t="n">
        <f aca="false">E4*F4</f>
        <v>2.86</v>
      </c>
    </row>
    <row r="5" customFormat="false" ht="15.65" hidden="false" customHeight="false" outlineLevel="0" collapsed="false">
      <c r="B5" s="9" t="s">
        <v>12</v>
      </c>
      <c r="C5" s="10" t="s">
        <v>13</v>
      </c>
      <c r="D5" s="9" t="s">
        <v>14</v>
      </c>
      <c r="E5" s="11" t="n">
        <v>0</v>
      </c>
      <c r="F5" s="12" t="n">
        <v>14.04</v>
      </c>
      <c r="G5" s="13" t="n">
        <f aca="false">E5*F5</f>
        <v>0</v>
      </c>
      <c r="H5" s="14" t="s">
        <v>15</v>
      </c>
    </row>
    <row r="6" customFormat="false" ht="15.65" hidden="false" customHeight="false" outlineLevel="0" collapsed="false">
      <c r="B6" s="9" t="s">
        <v>16</v>
      </c>
      <c r="C6" s="10" t="s">
        <v>17</v>
      </c>
      <c r="D6" s="9" t="s">
        <v>18</v>
      </c>
      <c r="E6" s="11" t="n">
        <v>0</v>
      </c>
      <c r="F6" s="12" t="n">
        <v>14.04</v>
      </c>
      <c r="G6" s="13" t="n">
        <f aca="false">E6*F6</f>
        <v>0</v>
      </c>
      <c r="H6" s="14" t="s">
        <v>15</v>
      </c>
    </row>
    <row r="7" customFormat="false" ht="15.65" hidden="false" customHeight="false" outlineLevel="0" collapsed="false">
      <c r="B7" s="15" t="s">
        <v>19</v>
      </c>
      <c r="C7" s="16" t="s">
        <v>20</v>
      </c>
      <c r="D7" s="15" t="s">
        <v>21</v>
      </c>
      <c r="E7" s="11" t="n">
        <v>1</v>
      </c>
      <c r="F7" s="17" t="n">
        <v>0.62</v>
      </c>
      <c r="G7" s="13" t="n">
        <f aca="false">E7*F7</f>
        <v>0.62</v>
      </c>
    </row>
    <row r="8" customFormat="false" ht="15.65" hidden="false" customHeight="false" outlineLevel="0" collapsed="false">
      <c r="B8" s="15" t="s">
        <v>22</v>
      </c>
      <c r="C8" s="16" t="s">
        <v>23</v>
      </c>
      <c r="D8" s="15" t="s">
        <v>24</v>
      </c>
      <c r="E8" s="11" t="n">
        <v>1</v>
      </c>
      <c r="F8" s="17" t="n">
        <v>0.7</v>
      </c>
      <c r="G8" s="13" t="n">
        <f aca="false">E8*F8</f>
        <v>0.7</v>
      </c>
    </row>
    <row r="9" customFormat="false" ht="15.65" hidden="false" customHeight="false" outlineLevel="0" collapsed="false">
      <c r="B9" s="15" t="s">
        <v>25</v>
      </c>
      <c r="C9" s="16" t="s">
        <v>26</v>
      </c>
      <c r="D9" s="15" t="s">
        <v>27</v>
      </c>
      <c r="E9" s="11" t="n">
        <v>1</v>
      </c>
      <c r="F9" s="17" t="n">
        <v>1.34</v>
      </c>
      <c r="G9" s="13" t="n">
        <f aca="false">E9*F9</f>
        <v>1.34</v>
      </c>
    </row>
    <row r="10" customFormat="false" ht="15.65" hidden="false" customHeight="false" outlineLevel="0" collapsed="false">
      <c r="B10" s="15" t="s">
        <v>28</v>
      </c>
      <c r="C10" s="16" t="s">
        <v>29</v>
      </c>
      <c r="D10" s="15" t="s">
        <v>30</v>
      </c>
      <c r="E10" s="11" t="n">
        <v>2</v>
      </c>
      <c r="F10" s="17" t="n">
        <v>0.6</v>
      </c>
      <c r="G10" s="13" t="n">
        <f aca="false">E10*F10</f>
        <v>1.2</v>
      </c>
    </row>
    <row r="11" customFormat="false" ht="15.65" hidden="false" customHeight="false" outlineLevel="0" collapsed="false">
      <c r="B11" s="18" t="s">
        <v>31</v>
      </c>
      <c r="C11" s="19" t="s">
        <v>32</v>
      </c>
      <c r="D11" s="18" t="s">
        <v>33</v>
      </c>
      <c r="E11" s="6" t="n">
        <v>1</v>
      </c>
      <c r="F11" s="20" t="n">
        <v>0.49</v>
      </c>
      <c r="G11" s="8" t="n">
        <f aca="false">E11*F11</f>
        <v>0.49</v>
      </c>
    </row>
    <row r="12" customFormat="false" ht="15.65" hidden="false" customHeight="false" outlineLevel="0" collapsed="false">
      <c r="B12" s="15" t="s">
        <v>34</v>
      </c>
      <c r="C12" s="16" t="s">
        <v>35</v>
      </c>
      <c r="D12" s="15" t="s">
        <v>36</v>
      </c>
      <c r="E12" s="11" t="n">
        <v>1</v>
      </c>
      <c r="F12" s="17" t="n">
        <v>0.84</v>
      </c>
      <c r="G12" s="13" t="n">
        <f aca="false">E12*F12</f>
        <v>0.84</v>
      </c>
    </row>
    <row r="13" customFormat="false" ht="15.65" hidden="false" customHeight="false" outlineLevel="0" collapsed="false">
      <c r="B13" s="15" t="s">
        <v>37</v>
      </c>
      <c r="C13" s="16" t="s">
        <v>38</v>
      </c>
      <c r="D13" s="15" t="s">
        <v>39</v>
      </c>
      <c r="E13" s="11" t="n">
        <v>1</v>
      </c>
      <c r="F13" s="17" t="n">
        <v>0.31</v>
      </c>
      <c r="G13" s="13" t="n">
        <f aca="false">E13*F13</f>
        <v>0.31</v>
      </c>
    </row>
    <row r="14" customFormat="false" ht="15.65" hidden="false" customHeight="false" outlineLevel="0" collapsed="false">
      <c r="B14" s="18" t="s">
        <v>40</v>
      </c>
      <c r="C14" s="21" t="s">
        <v>41</v>
      </c>
      <c r="D14" s="18" t="s">
        <v>42</v>
      </c>
      <c r="E14" s="6" t="n">
        <v>2</v>
      </c>
      <c r="F14" s="20" t="n">
        <v>1.61</v>
      </c>
      <c r="G14" s="22" t="n">
        <f aca="false">F14*E14</f>
        <v>3.22</v>
      </c>
    </row>
    <row r="15" customFormat="false" ht="14.15" hidden="false" customHeight="true" outlineLevel="0" collapsed="false">
      <c r="B15" s="23"/>
      <c r="C15" s="23"/>
      <c r="D15" s="23"/>
      <c r="E15" s="23"/>
      <c r="F15" s="24"/>
      <c r="G15" s="23"/>
      <c r="I15" s="0"/>
    </row>
    <row r="16" customFormat="false" ht="14.9" hidden="false" customHeight="true" outlineLevel="0" collapsed="false">
      <c r="B16" s="15" t="s">
        <v>43</v>
      </c>
      <c r="C16" s="16" t="s">
        <v>44</v>
      </c>
      <c r="D16" s="15" t="s">
        <v>45</v>
      </c>
      <c r="E16" s="11" t="n">
        <v>1</v>
      </c>
      <c r="F16" s="17" t="n">
        <v>2.46</v>
      </c>
      <c r="G16" s="13" t="n">
        <f aca="false">E16*F16</f>
        <v>2.46</v>
      </c>
      <c r="I16" s="25" t="s">
        <v>46</v>
      </c>
    </row>
    <row r="17" customFormat="false" ht="15.65" hidden="false" customHeight="false" outlineLevel="0" collapsed="false">
      <c r="B17" s="15" t="s">
        <v>47</v>
      </c>
      <c r="C17" s="16" t="s">
        <v>48</v>
      </c>
      <c r="D17" s="15" t="s">
        <v>49</v>
      </c>
      <c r="E17" s="11" t="n">
        <v>1</v>
      </c>
      <c r="F17" s="17" t="n">
        <v>1.15</v>
      </c>
      <c r="G17" s="13" t="n">
        <f aca="false">E17*F17</f>
        <v>1.15</v>
      </c>
    </row>
    <row r="18" customFormat="false" ht="15.65" hidden="false" customHeight="false" outlineLevel="0" collapsed="false">
      <c r="B18" s="15" t="s">
        <v>50</v>
      </c>
      <c r="C18" s="16" t="s">
        <v>51</v>
      </c>
      <c r="D18" s="15" t="s">
        <v>52</v>
      </c>
      <c r="E18" s="11" t="n">
        <v>1</v>
      </c>
      <c r="F18" s="17" t="n">
        <v>0.29</v>
      </c>
      <c r="G18" s="13" t="n">
        <f aca="false">E18*F18</f>
        <v>0.29</v>
      </c>
    </row>
    <row r="19" customFormat="false" ht="15.65" hidden="false" customHeight="false" outlineLevel="0" collapsed="false">
      <c r="B19" s="15" t="s">
        <v>53</v>
      </c>
      <c r="C19" s="16" t="s">
        <v>54</v>
      </c>
      <c r="D19" s="15" t="s">
        <v>55</v>
      </c>
      <c r="E19" s="11" t="n">
        <v>2</v>
      </c>
      <c r="F19" s="17" t="n">
        <v>0.18</v>
      </c>
      <c r="G19" s="13" t="n">
        <f aca="false">E19*F19</f>
        <v>0.36</v>
      </c>
    </row>
    <row r="20" customFormat="false" ht="15.65" hidden="false" customHeight="false" outlineLevel="0" collapsed="false">
      <c r="B20" s="15" t="s">
        <v>56</v>
      </c>
      <c r="C20" s="16" t="s">
        <v>57</v>
      </c>
      <c r="D20" s="15" t="s">
        <v>58</v>
      </c>
      <c r="E20" s="11" t="n">
        <v>1</v>
      </c>
      <c r="F20" s="17" t="n">
        <v>0.31</v>
      </c>
      <c r="G20" s="13" t="n">
        <f aca="false">E20*F20</f>
        <v>0.31</v>
      </c>
    </row>
    <row r="21" customFormat="false" ht="15" hidden="false" customHeight="false" outlineLevel="0" collapsed="false">
      <c r="B21" s="15"/>
      <c r="C21" s="15"/>
      <c r="D21" s="15"/>
      <c r="E21" s="15"/>
      <c r="F21" s="17"/>
      <c r="G21" s="23"/>
    </row>
    <row r="22" customFormat="false" ht="15.65" hidden="false" customHeight="false" outlineLevel="0" collapsed="false">
      <c r="B22" s="15" t="s">
        <v>59</v>
      </c>
      <c r="C22" s="16" t="s">
        <v>60</v>
      </c>
      <c r="D22" s="15" t="s">
        <v>61</v>
      </c>
      <c r="E22" s="11" t="n">
        <v>1</v>
      </c>
      <c r="F22" s="17" t="n">
        <v>0.18</v>
      </c>
      <c r="G22" s="13" t="n">
        <f aca="false">E22*F22</f>
        <v>0.18</v>
      </c>
    </row>
    <row r="23" customFormat="false" ht="15.65" hidden="false" customHeight="false" outlineLevel="0" collapsed="false">
      <c r="B23" s="15" t="s">
        <v>62</v>
      </c>
      <c r="C23" s="16" t="s">
        <v>63</v>
      </c>
      <c r="D23" s="15" t="s">
        <v>64</v>
      </c>
      <c r="E23" s="11" t="n">
        <v>2</v>
      </c>
      <c r="F23" s="17" t="n">
        <v>0.18</v>
      </c>
      <c r="G23" s="13" t="n">
        <f aca="false">E23*F23</f>
        <v>0.36</v>
      </c>
      <c r="I23" s="26" t="s">
        <v>65</v>
      </c>
    </row>
    <row r="24" customFormat="false" ht="15.65" hidden="false" customHeight="false" outlineLevel="0" collapsed="false">
      <c r="B24" s="15" t="s">
        <v>66</v>
      </c>
      <c r="C24" s="16" t="s">
        <v>67</v>
      </c>
      <c r="D24" s="15" t="s">
        <v>68</v>
      </c>
      <c r="E24" s="11" t="n">
        <v>1</v>
      </c>
      <c r="F24" s="17" t="n">
        <v>0.86</v>
      </c>
      <c r="G24" s="13" t="n">
        <f aca="false">E24*F24</f>
        <v>0.86</v>
      </c>
      <c r="I24" s="1" t="s">
        <v>65</v>
      </c>
    </row>
    <row r="25" customFormat="false" ht="15.65" hidden="false" customHeight="false" outlineLevel="0" collapsed="false">
      <c r="B25" s="15" t="s">
        <v>69</v>
      </c>
      <c r="C25" s="16" t="s">
        <v>70</v>
      </c>
      <c r="D25" s="15" t="s">
        <v>71</v>
      </c>
      <c r="E25" s="11" t="n">
        <v>1</v>
      </c>
      <c r="F25" s="17" t="n">
        <v>0.18</v>
      </c>
      <c r="G25" s="13" t="n">
        <f aca="false">E25*F25</f>
        <v>0.18</v>
      </c>
    </row>
    <row r="26" customFormat="false" ht="15.65" hidden="false" customHeight="false" outlineLevel="0" collapsed="false">
      <c r="B26" s="27" t="s">
        <v>72</v>
      </c>
      <c r="C26" s="28" t="s">
        <v>73</v>
      </c>
      <c r="D26" s="27" t="s">
        <v>74</v>
      </c>
      <c r="E26" s="29" t="n">
        <v>1</v>
      </c>
      <c r="F26" s="30" t="n">
        <v>0.57</v>
      </c>
      <c r="G26" s="31" t="n">
        <f aca="false">E26*F26</f>
        <v>0.57</v>
      </c>
      <c r="H26" s="32"/>
      <c r="I26" s="33" t="s">
        <v>65</v>
      </c>
      <c r="J26" s="34" t="s">
        <v>75</v>
      </c>
    </row>
    <row r="27" customFormat="false" ht="15.65" hidden="false" customHeight="false" outlineLevel="0" collapsed="false">
      <c r="B27" s="15" t="s">
        <v>76</v>
      </c>
      <c r="C27" s="16" t="s">
        <v>77</v>
      </c>
      <c r="D27" s="15" t="s">
        <v>78</v>
      </c>
      <c r="E27" s="11" t="n">
        <v>1</v>
      </c>
      <c r="F27" s="17" t="n">
        <v>1.43</v>
      </c>
      <c r="G27" s="13" t="n">
        <f aca="false">E27*F27</f>
        <v>1.43</v>
      </c>
    </row>
    <row r="28" customFormat="false" ht="15" hidden="false" customHeight="false" outlineLevel="0" collapsed="false">
      <c r="B28" s="15"/>
      <c r="C28" s="15"/>
      <c r="D28" s="15"/>
      <c r="E28" s="15"/>
      <c r="F28" s="35"/>
      <c r="G28" s="23"/>
    </row>
    <row r="29" customFormat="false" ht="15.65" hidden="false" customHeight="false" outlineLevel="0" collapsed="false">
      <c r="B29" s="15" t="s">
        <v>79</v>
      </c>
      <c r="C29" s="16" t="s">
        <v>80</v>
      </c>
      <c r="D29" s="15" t="s">
        <v>81</v>
      </c>
      <c r="E29" s="11" t="n">
        <v>1</v>
      </c>
      <c r="F29" s="17" t="n">
        <v>0.18</v>
      </c>
      <c r="G29" s="13" t="n">
        <f aca="false">E29*F29</f>
        <v>0.18</v>
      </c>
    </row>
    <row r="30" customFormat="false" ht="15.65" hidden="false" customHeight="false" outlineLevel="0" collapsed="false">
      <c r="B30" s="15" t="s">
        <v>82</v>
      </c>
      <c r="C30" s="16" t="s">
        <v>83</v>
      </c>
      <c r="D30" s="15" t="s">
        <v>84</v>
      </c>
      <c r="E30" s="11" t="n">
        <v>1</v>
      </c>
      <c r="F30" s="17" t="n">
        <v>0.18</v>
      </c>
      <c r="G30" s="13" t="n">
        <f aca="false">E30*F30</f>
        <v>0.18</v>
      </c>
    </row>
    <row r="31" customFormat="false" ht="15.65" hidden="false" customHeight="false" outlineLevel="0" collapsed="false">
      <c r="B31" s="15" t="s">
        <v>85</v>
      </c>
      <c r="C31" s="16" t="s">
        <v>86</v>
      </c>
      <c r="D31" s="15" t="s">
        <v>87</v>
      </c>
      <c r="E31" s="11" t="n">
        <v>4</v>
      </c>
      <c r="F31" s="17" t="n">
        <v>0.18</v>
      </c>
      <c r="G31" s="13" t="n">
        <f aca="false">E31*F31</f>
        <v>0.72</v>
      </c>
    </row>
    <row r="32" customFormat="false" ht="15.65" hidden="false" customHeight="false" outlineLevel="0" collapsed="false">
      <c r="B32" s="15" t="s">
        <v>88</v>
      </c>
      <c r="C32" s="16" t="s">
        <v>89</v>
      </c>
      <c r="D32" s="15" t="s">
        <v>90</v>
      </c>
      <c r="E32" s="11" t="n">
        <v>2</v>
      </c>
      <c r="F32" s="17" t="n">
        <v>0.18</v>
      </c>
      <c r="G32" s="13" t="n">
        <f aca="false">E32*F32</f>
        <v>0.36</v>
      </c>
    </row>
    <row r="33" customFormat="false" ht="15.65" hidden="false" customHeight="false" outlineLevel="0" collapsed="false">
      <c r="B33" s="15" t="s">
        <v>91</v>
      </c>
      <c r="C33" s="16" t="s">
        <v>92</v>
      </c>
      <c r="D33" s="15" t="s">
        <v>93</v>
      </c>
      <c r="E33" s="11" t="n">
        <v>1</v>
      </c>
      <c r="F33" s="17" t="n">
        <v>0.6</v>
      </c>
      <c r="G33" s="13" t="n">
        <f aca="false">E33*F33</f>
        <v>0.6</v>
      </c>
    </row>
    <row r="34" customFormat="false" ht="15.65" hidden="false" customHeight="false" outlineLevel="0" collapsed="false">
      <c r="B34" s="15" t="s">
        <v>94</v>
      </c>
      <c r="C34" s="16" t="s">
        <v>95</v>
      </c>
      <c r="D34" s="15" t="s">
        <v>96</v>
      </c>
      <c r="E34" s="11" t="n">
        <v>1</v>
      </c>
      <c r="F34" s="17" t="n">
        <v>0.18</v>
      </c>
      <c r="G34" s="13" t="n">
        <f aca="false">E34*F34</f>
        <v>0.18</v>
      </c>
    </row>
    <row r="35" customFormat="false" ht="15.65" hidden="false" customHeight="false" outlineLevel="0" collapsed="false">
      <c r="B35" s="15" t="s">
        <v>97</v>
      </c>
      <c r="C35" s="16" t="s">
        <v>98</v>
      </c>
      <c r="D35" s="15" t="s">
        <v>99</v>
      </c>
      <c r="E35" s="11" t="n">
        <v>1</v>
      </c>
      <c r="F35" s="17" t="n">
        <v>0.18</v>
      </c>
      <c r="G35" s="13" t="n">
        <f aca="false">E35*F35</f>
        <v>0.18</v>
      </c>
    </row>
    <row r="36" customFormat="false" ht="15.65" hidden="false" customHeight="false" outlineLevel="0" collapsed="false">
      <c r="B36" s="15" t="s">
        <v>100</v>
      </c>
      <c r="C36" s="16" t="s">
        <v>101</v>
      </c>
      <c r="D36" s="15" t="s">
        <v>102</v>
      </c>
      <c r="E36" s="11" t="n">
        <v>4</v>
      </c>
      <c r="F36" s="17" t="n">
        <v>0.18</v>
      </c>
      <c r="G36" s="13" t="n">
        <f aca="false">E36*F36</f>
        <v>0.72</v>
      </c>
    </row>
    <row r="37" customFormat="false" ht="15.65" hidden="false" customHeight="false" outlineLevel="0" collapsed="false">
      <c r="B37" s="15" t="s">
        <v>103</v>
      </c>
      <c r="C37" s="16" t="s">
        <v>104</v>
      </c>
      <c r="D37" s="15" t="s">
        <v>105</v>
      </c>
      <c r="E37" s="11" t="n">
        <v>2</v>
      </c>
      <c r="F37" s="17" t="n">
        <v>0.18</v>
      </c>
      <c r="G37" s="13" t="n">
        <f aca="false">E37*F37</f>
        <v>0.36</v>
      </c>
    </row>
    <row r="38" customFormat="false" ht="15.65" hidden="false" customHeight="false" outlineLevel="0" collapsed="false">
      <c r="B38" s="15" t="s">
        <v>106</v>
      </c>
      <c r="C38" s="16" t="s">
        <v>107</v>
      </c>
      <c r="D38" s="15" t="s">
        <v>108</v>
      </c>
      <c r="E38" s="11" t="n">
        <v>1</v>
      </c>
      <c r="F38" s="17" t="n">
        <v>2.36</v>
      </c>
      <c r="G38" s="13" t="n">
        <f aca="false">E38*F38</f>
        <v>2.36</v>
      </c>
    </row>
    <row r="39" customFormat="false" ht="15" hidden="false" customHeight="false" outlineLevel="0" collapsed="false">
      <c r="B39" s="15"/>
      <c r="C39" s="15"/>
      <c r="D39" s="15"/>
      <c r="E39" s="15"/>
      <c r="F39" s="23"/>
      <c r="G39" s="23"/>
    </row>
    <row r="40" customFormat="false" ht="15" hidden="false" customHeight="false" outlineLevel="0" collapsed="false">
      <c r="B40" s="15"/>
      <c r="C40" s="15"/>
      <c r="D40" s="15"/>
      <c r="E40" s="15"/>
      <c r="F40" s="23"/>
      <c r="G40" s="23"/>
    </row>
    <row r="41" customFormat="false" ht="15" hidden="false" customHeight="false" outlineLevel="0" collapsed="false">
      <c r="B41" s="15"/>
      <c r="C41" s="15"/>
      <c r="D41" s="15"/>
      <c r="E41" s="15"/>
      <c r="F41" s="35"/>
      <c r="G41" s="23"/>
    </row>
    <row r="42" customFormat="false" ht="15" hidden="false" customHeight="false" outlineLevel="0" collapsed="false">
      <c r="B42" s="15"/>
      <c r="C42" s="15"/>
      <c r="D42" s="15"/>
      <c r="E42" s="15"/>
      <c r="F42" s="35"/>
      <c r="G42" s="23"/>
    </row>
    <row r="43" customFormat="false" ht="15" hidden="false" customHeight="false" outlineLevel="0" collapsed="false">
      <c r="B43" s="15"/>
      <c r="C43" s="15"/>
      <c r="D43" s="15"/>
      <c r="E43" s="15"/>
      <c r="F43" s="35"/>
      <c r="G43" s="23"/>
    </row>
    <row r="44" customFormat="false" ht="15" hidden="false" customHeight="false" outlineLevel="0" collapsed="false">
      <c r="B44" s="15"/>
      <c r="C44" s="15"/>
      <c r="D44" s="15"/>
      <c r="E44" s="15"/>
      <c r="F44" s="35"/>
      <c r="G44" s="23"/>
    </row>
    <row r="45" customFormat="false" ht="15" hidden="false" customHeight="false" outlineLevel="0" collapsed="false">
      <c r="B45" s="15"/>
      <c r="C45" s="15"/>
      <c r="D45" s="15"/>
      <c r="E45" s="11"/>
      <c r="F45" s="17"/>
      <c r="G45" s="13" t="n">
        <f aca="false">E45*F45</f>
        <v>0</v>
      </c>
    </row>
    <row r="46" customFormat="false" ht="15" hidden="false" customHeight="false" outlineLevel="0" collapsed="false">
      <c r="B46" s="15"/>
      <c r="C46" s="36" t="s">
        <v>109</v>
      </c>
      <c r="D46" s="15"/>
      <c r="E46" s="11"/>
      <c r="F46" s="17"/>
      <c r="G46" s="13" t="n">
        <f aca="false">E46*F46</f>
        <v>0</v>
      </c>
    </row>
    <row r="47" customFormat="false" ht="15" hidden="false" customHeight="false" outlineLevel="0" collapsed="false">
      <c r="B47" s="15"/>
      <c r="C47" s="15"/>
      <c r="D47" s="15"/>
      <c r="E47" s="11"/>
      <c r="F47" s="35"/>
      <c r="G47" s="13" t="n">
        <f aca="false">E47*F47</f>
        <v>0</v>
      </c>
    </row>
    <row r="48" customFormat="false" ht="15" hidden="false" customHeight="false" outlineLevel="0" collapsed="false">
      <c r="B48" s="15"/>
      <c r="C48" s="15"/>
      <c r="D48" s="15"/>
      <c r="E48" s="15"/>
      <c r="F48" s="11" t="s">
        <v>110</v>
      </c>
      <c r="G48" s="37" t="n">
        <f aca="false">SUM(G3:G46)</f>
        <v>27.33</v>
      </c>
    </row>
    <row r="49" customFormat="false" ht="15" hidden="false" customHeight="false" outlineLevel="0" collapsed="false">
      <c r="G49" s="15"/>
    </row>
    <row r="50" customFormat="false" ht="15" hidden="false" customHeight="false" outlineLevel="0" collapsed="false">
      <c r="B50" s="15"/>
      <c r="C50" s="15"/>
      <c r="D50" s="15"/>
      <c r="E50" s="15"/>
      <c r="F50" s="15"/>
      <c r="G50" s="15"/>
    </row>
    <row r="51" customFormat="false" ht="15" hidden="false" customHeight="false" outlineLevel="0" collapsed="false">
      <c r="B51" s="15"/>
      <c r="C51" s="15"/>
      <c r="D51" s="15"/>
      <c r="E51" s="15"/>
      <c r="F51" s="15"/>
      <c r="G51" s="15"/>
    </row>
    <row r="52" customFormat="false" ht="15" hidden="false" customHeight="false" outlineLevel="0" collapsed="false">
      <c r="B52" s="15"/>
      <c r="C52" s="15"/>
      <c r="D52" s="15"/>
      <c r="E52" s="15"/>
      <c r="F52" s="15"/>
      <c r="G52" s="15"/>
    </row>
    <row r="53" customFormat="false" ht="15" hidden="false" customHeight="false" outlineLevel="0" collapsed="false">
      <c r="B53" s="15"/>
      <c r="C53" s="15"/>
      <c r="D53" s="15"/>
      <c r="E53" s="15"/>
      <c r="F53" s="15"/>
      <c r="G53" s="15"/>
    </row>
    <row r="54" customFormat="false" ht="15" hidden="false" customHeight="false" outlineLevel="0" collapsed="false">
      <c r="B54" s="15"/>
      <c r="C54" s="15"/>
      <c r="D54" s="15"/>
      <c r="E54" s="15"/>
      <c r="F54" s="15"/>
      <c r="G54" s="15"/>
    </row>
    <row r="55" customFormat="false" ht="15" hidden="false" customHeight="false" outlineLevel="0" collapsed="false">
      <c r="B55" s="15"/>
      <c r="C55" s="15"/>
      <c r="D55" s="15"/>
      <c r="E55" s="15"/>
      <c r="F55" s="15"/>
      <c r="G55" s="15"/>
    </row>
    <row r="56" customFormat="false" ht="15" hidden="false" customHeight="false" outlineLevel="0" collapsed="false">
      <c r="B56" s="15"/>
      <c r="C56" s="15"/>
      <c r="D56" s="15"/>
      <c r="E56" s="15"/>
      <c r="F56" s="15"/>
      <c r="G56" s="15"/>
    </row>
    <row r="57" customFormat="false" ht="15" hidden="false" customHeight="false" outlineLevel="0" collapsed="false">
      <c r="B57" s="15"/>
      <c r="C57" s="15"/>
      <c r="D57" s="15"/>
      <c r="E57" s="15"/>
      <c r="F57" s="15"/>
      <c r="G57" s="15"/>
    </row>
    <row r="58" customFormat="false" ht="15" hidden="false" customHeight="false" outlineLevel="0" collapsed="false">
      <c r="B58" s="15"/>
      <c r="C58" s="15"/>
      <c r="D58" s="15"/>
      <c r="E58" s="15"/>
      <c r="F58" s="15"/>
      <c r="G58" s="15"/>
    </row>
    <row r="59" customFormat="false" ht="15" hidden="false" customHeight="false" outlineLevel="0" collapsed="false">
      <c r="B59" s="15"/>
      <c r="C59" s="15"/>
      <c r="D59" s="15"/>
      <c r="E59" s="15"/>
      <c r="F59" s="15"/>
      <c r="G59" s="15"/>
    </row>
    <row r="60" customFormat="false" ht="15" hidden="false" customHeight="false" outlineLevel="0" collapsed="false">
      <c r="B60" s="15"/>
      <c r="C60" s="15"/>
      <c r="D60" s="15"/>
      <c r="E60" s="15"/>
      <c r="F60" s="15"/>
      <c r="G60" s="15"/>
    </row>
    <row r="61" customFormat="false" ht="15" hidden="false" customHeight="false" outlineLevel="0" collapsed="false">
      <c r="B61" s="15"/>
      <c r="C61" s="15"/>
      <c r="D61" s="15"/>
      <c r="E61" s="15"/>
      <c r="F61" s="15"/>
      <c r="G61" s="15"/>
    </row>
    <row r="62" customFormat="false" ht="15" hidden="false" customHeight="false" outlineLevel="0" collapsed="false">
      <c r="B62" s="15"/>
      <c r="C62" s="15"/>
      <c r="D62" s="15"/>
      <c r="E62" s="15"/>
      <c r="F62" s="15"/>
      <c r="G62" s="15"/>
    </row>
    <row r="63" customFormat="false" ht="15" hidden="false" customHeight="false" outlineLevel="0" collapsed="false">
      <c r="B63" s="15"/>
      <c r="C63" s="15"/>
      <c r="D63" s="15"/>
      <c r="E63" s="15"/>
      <c r="F63" s="15"/>
      <c r="G63" s="15"/>
    </row>
    <row r="64" customFormat="false" ht="15" hidden="false" customHeight="false" outlineLevel="0" collapsed="false">
      <c r="B64" s="15"/>
      <c r="C64" s="15"/>
      <c r="D64" s="15"/>
      <c r="E64" s="15"/>
      <c r="F64" s="15"/>
      <c r="G64" s="15"/>
    </row>
    <row r="65" customFormat="false" ht="15" hidden="false" customHeight="false" outlineLevel="0" collapsed="false">
      <c r="B65" s="15"/>
      <c r="C65" s="15"/>
      <c r="D65" s="15"/>
      <c r="E65" s="15"/>
      <c r="F65" s="15"/>
      <c r="G65" s="15"/>
    </row>
    <row r="66" customFormat="false" ht="15" hidden="false" customHeight="false" outlineLevel="0" collapsed="false">
      <c r="B66" s="15"/>
      <c r="C66" s="15"/>
      <c r="D66" s="15"/>
      <c r="E66" s="15"/>
      <c r="F66" s="15"/>
      <c r="G66" s="15"/>
    </row>
  </sheetData>
  <hyperlinks>
    <hyperlink ref="C3" r:id="rId1" display="https://www.digikey.co.nz/en/products/detail/diodes-incorporated/AP63301WU-7/10491607?s=N4IgTCBcDaIIIAUBsBmFAGAjAdQKoFoB2EAXQF8g"/>
    <hyperlink ref="C4" r:id="rId2" display="https://www.digikey.co.nz/en/products/detail/texas-instruments/DRV8231DDAR/16184249 "/>
    <hyperlink ref="C5" r:id="rId3" display="https://www.digikey.co.nz/en/products/detail/cliff-electronic-components-ltd/FCR7350R/17729035  "/>
    <hyperlink ref="C6" r:id="rId4" display="https://www.digikey.co.nz/en/products/detail/cliff-electronic-components-ltd/FCR7350B/17729030  "/>
    <hyperlink ref="C7" r:id="rId5" display="https://www.digikey.co.nz/en/products/detail/same-sky-formerly-cui-devices/TB002-500-02BE/10064069 "/>
    <hyperlink ref="C8" r:id="rId6" display="https://www.digikey.co.nz/en/products/detail/w%C3%BCrth-elektronik/691137710002/6644051 "/>
    <hyperlink ref="C9" r:id="rId7" display="https://www.digikey.co.nz/en/products/detail/w%C3%BCrth-elektronik/691137710004/6644053 "/>
    <hyperlink ref="C10" r:id="rId8" display="https://www.digikey.co.nz/en/products/detail/kingbright/WP813GD/3084264 "/>
    <hyperlink ref="C11" r:id="rId9" display="https://www.digikey.co.nz/en/products/detail/te-connectivity-alcoswitch-switches/1-1825027-1/1632544 "/>
    <hyperlink ref="C12" r:id="rId10" display="https://www.digikey.co.nz/en/products/detail/sunled/XZCM2MOK54WA-1VF/15761908 "/>
    <hyperlink ref="C13" r:id="rId11" display="https://www.digikey.co.nz/en/products/detail/ams-osram-ag/LW-Q98G-01-R2T1-3K6L-1-5-R18/21556497 "/>
    <hyperlink ref="C14" r:id="rId12" display="https://www.digikey.co.nz/en/products/detail/w%C3%BCrth-elektronik/61302011821/16608603"/>
    <hyperlink ref="C16" r:id="rId13" display="https://www.digikey.co.nz/en/products/detail/onsemi/FQD8P10TM/1054070 "/>
    <hyperlink ref="C17" r:id="rId14" display="https://www.digikey.co.nz/en/products/detail/diodes-incorporated/DMP3056L-7/5126843 "/>
    <hyperlink ref="C18" r:id="rId15" display="https://www.digikey.co.nz/en/products/detail/nexperia-usa-inc/NX138BKR/5981270 "/>
    <hyperlink ref="C19" r:id="rId16" display="https://www.digikey.co.nz/en/products/detail/shenzhen-slkormicro-semicon-co-ltd/SLMT320V3CN/29782446 "/>
    <hyperlink ref="C20" r:id="rId17" display="https://www.digikey.co.nz/en/products/detail/onsemi/MM3Z24VT1G/661665 "/>
    <hyperlink ref="C22" r:id="rId18" display="https://www.digikey.co.nz/en/products/detail/w%C3%BCrth-elektronik/860010672004/5726903"/>
    <hyperlink ref="C23" r:id="rId19" display="https://www.digikey.co.nz/en/products/detail/samsung-electro-mechanics/CL21B104KBCNNNC/3886661 "/>
    <hyperlink ref="C24" r:id="rId20" display="https://www.digikey.co.nz/en/products/detail/tdk/C2012X5R1V106K125AC/3951654 "/>
    <hyperlink ref="C25" r:id="rId21" display="https://www.digikey.co.nz/en/products/detail/murata-electronics/GCM1885C2A470JA16J/2591757 "/>
    <hyperlink ref="C26" r:id="rId22" display="https://www.digikey.co.nz/en/products/detail/taiyo-yuden/JMK212BBJ476MG-T/4970731 "/>
    <hyperlink ref="C27" r:id="rId23" display="https://www.digikey.co.nz/en/products/detail/tdk/SLF7045T-6R8M1R7-PF/755381 "/>
    <hyperlink ref="C29" r:id="rId24" display="https://www.digikey.co.nz/en/products/detail/bourns-inc/CR0805-FX-3012ELF/3784840 "/>
    <hyperlink ref="C30" r:id="rId25" display="https://www.digikey.co.nz/en/products/detail/bourns-inc/CR0805-FX-1583ELF/3784668 "/>
    <hyperlink ref="C31" r:id="rId26" display="https://www.digikey.co.nz/en/products/detail/stackpole-electronics-inc/RMCF0805FT10K0/1760676 "/>
    <hyperlink ref="C32" r:id="rId27" display="https://www.digikey.co.nz/en/products/detail/stackpole-electronics-inc/RNCP0805FTD1K00/2240229 "/>
    <hyperlink ref="C33" r:id="rId28" display="https://www.digikey.co.nz/en/products/detail/te-connectivity-passive-product/RLC73PD2BR169FTD/19238107 "/>
    <hyperlink ref="C34" r:id="rId29" display="https://www.digikey.co.nz/en/products/detail/vishay-dale/CRCW080582K0FKEA/1175855 "/>
    <hyperlink ref="C35" r:id="rId30" display="https://www.digikey.co.nz/en/products/detail/vishay-dale/CRCW0805100KFKEA/1175865 "/>
    <hyperlink ref="C36" r:id="rId31" display="https://www.digikey.co.nz/en/products/detail/yageo/RC0805JR-07180RL/728263 "/>
    <hyperlink ref="C37" r:id="rId32" display="https://www.digikey.co.nz/en/products/detail/te-connectivity-passive-product/CRG0805F2K7/2380883 "/>
    <hyperlink ref="C38" r:id="rId33" display="https://www.digikey.co.nz/en/products/detail/bourns-inc/PDB181-B225K-103B/6153329 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2026-08-10T00:25:19Z</dcterms:created>
  <dc:creator/>
  <dc:description/>
  <dc:language>en-NZ</dc:language>
  <cp:lastModifiedBy/>
  <dcterms:modified xsi:type="dcterms:W3CDTF">2026-08-19T12:00:19Z</dcterms:modified>
  <cp:revision>48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